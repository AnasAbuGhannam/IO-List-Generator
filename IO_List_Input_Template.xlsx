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IO Generation Tool\IO_List_Generator\"/>
    </mc:Choice>
  </mc:AlternateContent>
  <xr:revisionPtr revIDLastSave="0" documentId="13_ncr:1_{54BC1714-F78B-44CF-822F-CC31A266254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OJECT_INFO" sheetId="1" r:id="rId1"/>
    <sheet name="MODULE_DB" sheetId="2" r:id="rId2"/>
    <sheet name="HARDWARE_CONFIG" sheetId="3" r:id="rId3"/>
    <sheet name="SIGNAL_MATRIX" sheetId="4" r:id="rId4"/>
    <sheet name="EQUIPMENT_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2" i="3"/>
  <c r="G2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2" i="3"/>
  <c r="D6" i="3"/>
  <c r="D5" i="3"/>
  <c r="D4" i="3"/>
  <c r="D3" i="3"/>
  <c r="D2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7" i="3"/>
</calcChain>
</file>

<file path=xl/sharedStrings.xml><?xml version="1.0" encoding="utf-8"?>
<sst xmlns="http://schemas.openxmlformats.org/spreadsheetml/2006/main" count="324" uniqueCount="175">
  <si>
    <t>PROJECT INFORMATION</t>
  </si>
  <si>
    <t>Project Name</t>
  </si>
  <si>
    <t>My Project</t>
  </si>
  <si>
    <t>Project Number</t>
  </si>
  <si>
    <t>PRJ-001</t>
  </si>
  <si>
    <t>Controller Tag Prefix</t>
  </si>
  <si>
    <t>PLC-1</t>
  </si>
  <si>
    <t>Controller Model</t>
  </si>
  <si>
    <t>5069-L310ER</t>
  </si>
  <si>
    <t>IO Address Prefix</t>
  </si>
  <si>
    <t>DI_</t>
  </si>
  <si>
    <t>Engineer Name</t>
  </si>
  <si>
    <t>Eng. Anas</t>
  </si>
  <si>
    <t>Client Name</t>
  </si>
  <si>
    <t>Site Name</t>
  </si>
  <si>
    <t>Revision</t>
  </si>
  <si>
    <t>A</t>
  </si>
  <si>
    <t>Notes</t>
  </si>
  <si>
    <t>⚠ Fill in all yellow cells before running the generator.</t>
  </si>
  <si>
    <t>Model No.</t>
  </si>
  <si>
    <t>Description</t>
  </si>
  <si>
    <t>Type (DI/DO/AI/AO)</t>
  </si>
  <si>
    <t>Channel Qty</t>
  </si>
  <si>
    <t>1734-IB8</t>
  </si>
  <si>
    <t>POINT I/O 8-Ch Digital Input 24VDC</t>
  </si>
  <si>
    <t>DI</t>
  </si>
  <si>
    <t>1734-IB16</t>
  </si>
  <si>
    <t>POINT I/O 16-Ch Digital Input 24VDC</t>
  </si>
  <si>
    <t>1734-OB8</t>
  </si>
  <si>
    <t>POINT I/O 8-Ch Digital Output 24VDC</t>
  </si>
  <si>
    <t>DO</t>
  </si>
  <si>
    <t>1734-OB16</t>
  </si>
  <si>
    <t>POINT I/O 16-Ch Digital Output 24VDC</t>
  </si>
  <si>
    <t>1734-IE8C</t>
  </si>
  <si>
    <t>POINT I/O 8-Ch Analog Input 4-20mA</t>
  </si>
  <si>
    <t>AI</t>
  </si>
  <si>
    <t>1734-IE4C</t>
  </si>
  <si>
    <t>POINT I/O 4-Ch Analog Input 4-20mA</t>
  </si>
  <si>
    <t>1734-OE4C</t>
  </si>
  <si>
    <t>POINT I/O 4-Ch Analog Output 4-20mA</t>
  </si>
  <si>
    <t>AO</t>
  </si>
  <si>
    <t>1734-OE2C</t>
  </si>
  <si>
    <t>POINT I/O 2-Ch Analog Output 4-20mA</t>
  </si>
  <si>
    <t>1756-IB32</t>
  </si>
  <si>
    <t>ControlLogix 32-Ch Digital Input 24VDC</t>
  </si>
  <si>
    <t>1756-IB16</t>
  </si>
  <si>
    <t>ControlLogix 16-Ch Digital Input 24VDC</t>
  </si>
  <si>
    <t>1756-OB32</t>
  </si>
  <si>
    <t>ControlLogix 32-Ch Digital Output 24VDC</t>
  </si>
  <si>
    <t>1756-OB16</t>
  </si>
  <si>
    <t>ControlLogix 16-Ch Digital Output 24VDC</t>
  </si>
  <si>
    <t>1756-IF16</t>
  </si>
  <si>
    <t>ControlLogix 16-Ch Analog Input</t>
  </si>
  <si>
    <t>1756-IF8</t>
  </si>
  <si>
    <t>ControlLogix 8-Ch Analog Input</t>
  </si>
  <si>
    <t>1756-OF8</t>
  </si>
  <si>
    <t>ControlLogix 8-Ch Analog Output</t>
  </si>
  <si>
    <t>1756-OF4</t>
  </si>
  <si>
    <t>ControlLogix 4-Ch Analog Output</t>
  </si>
  <si>
    <t>5069-IB16</t>
  </si>
  <si>
    <t>Compact 5000 16-Ch Digital Input 24VDC</t>
  </si>
  <si>
    <t>5069-IB8</t>
  </si>
  <si>
    <t>Compact 5000 8-Ch Digital Input 24VDC</t>
  </si>
  <si>
    <t>5069-OB16</t>
  </si>
  <si>
    <t>Compact 5000 16-Ch Digital Output 24VDC</t>
  </si>
  <si>
    <t>5069-OB8</t>
  </si>
  <si>
    <t>Compact 5000 8-Ch Digital Output 24VDC</t>
  </si>
  <si>
    <t>5069-IF8</t>
  </si>
  <si>
    <t>Compact 5000 8-Ch Analog Input</t>
  </si>
  <si>
    <t>5069-IF4</t>
  </si>
  <si>
    <t>Compact 5000 4-Ch Analog Input</t>
  </si>
  <si>
    <t>5069-OF4</t>
  </si>
  <si>
    <t>Compact 5000 4-Ch Analog Output</t>
  </si>
  <si>
    <t>5069-OF2</t>
  </si>
  <si>
    <t>Compact 5000 2-Ch Analog Output</t>
  </si>
  <si>
    <t>Color legend:</t>
  </si>
  <si>
    <t>Rack Name</t>
  </si>
  <si>
    <t>Module Model No.</t>
  </si>
  <si>
    <t>Modules Qty</t>
  </si>
  <si>
    <t>RACK 01</t>
  </si>
  <si>
    <t>RACK 02</t>
  </si>
  <si>
    <t>⚠ Rack Name must be consistent (e.g. 'RACK 01'). Model No. must match MODULE_DB exactly. Signals are arranged DI → DO → AI → AO per rack.</t>
  </si>
  <si>
    <t>Category</t>
  </si>
  <si>
    <t>Signal Type</t>
  </si>
  <si>
    <t>Signal Row Name</t>
  </si>
  <si>
    <t>VSD</t>
  </si>
  <si>
    <t>FSD</t>
  </si>
  <si>
    <t>HVALVE</t>
  </si>
  <si>
    <t>MVALVE</t>
  </si>
  <si>
    <t>HW</t>
  </si>
  <si>
    <t>DI Signal1</t>
  </si>
  <si>
    <t>Running</t>
  </si>
  <si>
    <t>Opened</t>
  </si>
  <si>
    <t>Input</t>
  </si>
  <si>
    <t>DI Signal2</t>
  </si>
  <si>
    <t>Fault</t>
  </si>
  <si>
    <t>Closed</t>
  </si>
  <si>
    <t>DI Signal3</t>
  </si>
  <si>
    <t>Remote</t>
  </si>
  <si>
    <t>DI Signal4</t>
  </si>
  <si>
    <t>DO Signal1</t>
  </si>
  <si>
    <t>Start Command</t>
  </si>
  <si>
    <t>Open Command</t>
  </si>
  <si>
    <t>DO Signal2</t>
  </si>
  <si>
    <t>Close Command</t>
  </si>
  <si>
    <t>AI Signal1</t>
  </si>
  <si>
    <t>Raw</t>
  </si>
  <si>
    <t>AI Signal2</t>
  </si>
  <si>
    <t>AO Signal1</t>
  </si>
  <si>
    <t>AO Signal2</t>
  </si>
  <si>
    <t>⚠ Signal Row Name must start with DI/DO/AI/AO. Cell value = signal description for that equipment type. Leave blank if not applicable. Add columns for new equipment types. Add rows for new signal rows.</t>
  </si>
  <si>
    <t>Tag</t>
  </si>
  <si>
    <t>Type</t>
  </si>
  <si>
    <t>System (optional)</t>
  </si>
  <si>
    <t>⚠ Type must match exactly one of the equipment type columns in SIGNAL_MATRIX sheet. Tag and Description are required.</t>
  </si>
  <si>
    <t>105-LIT-01</t>
  </si>
  <si>
    <t>Level sensor for Tank 105-RF-01</t>
  </si>
  <si>
    <t>105-LIT-02</t>
  </si>
  <si>
    <t>Level sensor for Tank 105-RF-02</t>
  </si>
  <si>
    <t>105-LIT-03</t>
  </si>
  <si>
    <t>Level sensor for Tank 105-RF-03</t>
  </si>
  <si>
    <t>105-LIT-05</t>
  </si>
  <si>
    <t>Level sensor for Tank 105-RF-05</t>
  </si>
  <si>
    <t>105-FIT-01</t>
  </si>
  <si>
    <t>Filling Flowmeter with Totalizer</t>
  </si>
  <si>
    <t>105-FIT-02</t>
  </si>
  <si>
    <t>Main dosing flowmeter</t>
  </si>
  <si>
    <t>105-FIT-03</t>
  </si>
  <si>
    <t>Post-treatment dosing flowmeter</t>
  </si>
  <si>
    <t>105-PO-201A</t>
  </si>
  <si>
    <t>Main dosing pump A</t>
  </si>
  <si>
    <t>105-PO-201B</t>
  </si>
  <si>
    <t>Main dosing pump B (Standby, Alternative)</t>
  </si>
  <si>
    <t>105-PO-301A</t>
  </si>
  <si>
    <t>Post-treatment Dosing pump A</t>
  </si>
  <si>
    <t>105-PO-301B</t>
  </si>
  <si>
    <t>Post-treatment Dosing pump B (Standby)</t>
  </si>
  <si>
    <t>105-VH-101</t>
  </si>
  <si>
    <t>Manual Valve with Feedback Signal</t>
  </si>
  <si>
    <t>105-VH-102</t>
  </si>
  <si>
    <t>105-VH-103</t>
  </si>
  <si>
    <t>105-VH-104</t>
  </si>
  <si>
    <t>105-VH-105</t>
  </si>
  <si>
    <t>105-VH-106</t>
  </si>
  <si>
    <t>105-VH-107</t>
  </si>
  <si>
    <t>105-VM-111</t>
  </si>
  <si>
    <t>Motorised Valve with Feedback Signal</t>
  </si>
  <si>
    <t>105-VM-112</t>
  </si>
  <si>
    <t>105-VM-113</t>
  </si>
  <si>
    <t>105-VH-114</t>
  </si>
  <si>
    <t>105-VH-115</t>
  </si>
  <si>
    <t>105-VH-116</t>
  </si>
  <si>
    <t>105-VH-117</t>
  </si>
  <si>
    <t>105-VH-118</t>
  </si>
  <si>
    <t>105-VM-202</t>
  </si>
  <si>
    <t>105-VM-204</t>
  </si>
  <si>
    <t>105-VM-206</t>
  </si>
  <si>
    <t>105-VH-208</t>
  </si>
  <si>
    <t>105-VH-209</t>
  </si>
  <si>
    <t>105-VH-210</t>
  </si>
  <si>
    <t>105-VH-211</t>
  </si>
  <si>
    <t>105-VH-301</t>
  </si>
  <si>
    <t>105-VH-302</t>
  </si>
  <si>
    <t>105-VH-303</t>
  </si>
  <si>
    <t>105-VH-304</t>
  </si>
  <si>
    <t>Module Desc</t>
  </si>
  <si>
    <t>Total Signals</t>
  </si>
  <si>
    <t>Module Type</t>
  </si>
  <si>
    <t>Module Signals</t>
  </si>
  <si>
    <t>SJCC</t>
  </si>
  <si>
    <t>ZARA</t>
  </si>
  <si>
    <t>first issue</t>
  </si>
  <si>
    <t>Bool</t>
  </si>
  <si>
    <t>Activated</t>
  </si>
  <si>
    <t>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</si>
</sst>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7F0000"/>
      <name val="Arial"/>
    </font>
    <font>
      <b/>
      <sz val="10"/>
      <color rgb="FFFFFFFF"/>
      <name val="Arial"/>
    </font>
    <font>
      <b/>
      <sz val="9"/>
      <name val="Arial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vertical="center"/>
    </xf>
    <xf numFmtId="0" fontId="4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0" sqref="B10"/>
    </sheetView>
  </sheetViews>
  <sheetFormatPr defaultRowHeight="15" x14ac:dyDescent="0.25"/>
  <cols>
    <col min="1" max="1" width="30" customWidth="1"/>
    <col min="2" max="2" width="40" customWidth="1"/>
  </cols>
  <sheetData>
    <row r="1" spans="1:2" ht="30" customHeight="1" x14ac:dyDescent="0.25">
      <c r="A1" s="18" t="s">
        <v>0</v>
      </c>
      <c r="B1" s="19"/>
    </row>
    <row r="2" spans="1:2" ht="20.100000000000001" customHeight="1" x14ac:dyDescent="0.25">
      <c r="A2" s="1" t="s">
        <v>1</v>
      </c>
      <c r="B2" s="2" t="s">
        <v>2</v>
      </c>
    </row>
    <row r="3" spans="1:2" ht="20.100000000000001" customHeight="1" x14ac:dyDescent="0.25">
      <c r="A3" s="1" t="s">
        <v>3</v>
      </c>
      <c r="B3" s="2" t="s">
        <v>4</v>
      </c>
    </row>
    <row r="4" spans="1:2" ht="20.100000000000001" customHeight="1" x14ac:dyDescent="0.25">
      <c r="A4" s="1" t="s">
        <v>5</v>
      </c>
      <c r="B4" s="2" t="s">
        <v>6</v>
      </c>
    </row>
    <row r="5" spans="1:2" ht="20.100000000000001" customHeight="1" x14ac:dyDescent="0.25">
      <c r="A5" s="1" t="s">
        <v>7</v>
      </c>
      <c r="B5" s="2" t="s">
        <v>8</v>
      </c>
    </row>
    <row r="6" spans="1:2" ht="20.100000000000001" customHeight="1" x14ac:dyDescent="0.25">
      <c r="A6" s="1" t="s">
        <v>9</v>
      </c>
      <c r="B6" s="2" t="s">
        <v>10</v>
      </c>
    </row>
    <row r="7" spans="1:2" ht="20.100000000000001" customHeight="1" x14ac:dyDescent="0.25">
      <c r="A7" s="1" t="s">
        <v>11</v>
      </c>
      <c r="B7" s="2" t="s">
        <v>12</v>
      </c>
    </row>
    <row r="8" spans="1:2" ht="20.100000000000001" customHeight="1" x14ac:dyDescent="0.25">
      <c r="A8" s="1" t="s">
        <v>13</v>
      </c>
      <c r="B8" s="2" t="s">
        <v>169</v>
      </c>
    </row>
    <row r="9" spans="1:2" ht="20.100000000000001" customHeight="1" x14ac:dyDescent="0.25">
      <c r="A9" s="1" t="s">
        <v>14</v>
      </c>
      <c r="B9" s="2" t="s">
        <v>170</v>
      </c>
    </row>
    <row r="10" spans="1:2" ht="20.100000000000001" customHeight="1" x14ac:dyDescent="0.25">
      <c r="A10" s="1" t="s">
        <v>15</v>
      </c>
      <c r="B10" s="2" t="s">
        <v>16</v>
      </c>
    </row>
    <row r="11" spans="1:2" ht="20.100000000000001" customHeight="1" x14ac:dyDescent="0.25">
      <c r="A11" s="1" t="s">
        <v>17</v>
      </c>
      <c r="B11" s="2" t="s">
        <v>171</v>
      </c>
    </row>
    <row r="13" spans="1:2" x14ac:dyDescent="0.25">
      <c r="A13" s="16" t="s">
        <v>18</v>
      </c>
      <c r="B13" s="17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5" workbookViewId="0">
      <selection activeCell="D2" sqref="D2:D25"/>
    </sheetView>
  </sheetViews>
  <sheetFormatPr defaultRowHeight="15" x14ac:dyDescent="0.25"/>
  <cols>
    <col min="1" max="1" width="20" customWidth="1"/>
    <col min="2" max="2" width="50" customWidth="1"/>
    <col min="3" max="3" width="10" customWidth="1"/>
    <col min="4" max="4" width="12" customWidth="1"/>
  </cols>
  <sheetData>
    <row r="1" spans="1:4" ht="24.95" customHeight="1" x14ac:dyDescent="0.25">
      <c r="A1" s="3" t="s">
        <v>19</v>
      </c>
      <c r="B1" s="3" t="s">
        <v>20</v>
      </c>
      <c r="C1" s="3" t="s">
        <v>21</v>
      </c>
      <c r="D1" s="3" t="s">
        <v>22</v>
      </c>
    </row>
    <row r="2" spans="1:4" ht="15.95" customHeight="1" x14ac:dyDescent="0.25">
      <c r="A2" s="2" t="s">
        <v>23</v>
      </c>
      <c r="B2" s="2" t="s">
        <v>24</v>
      </c>
      <c r="C2" s="4" t="s">
        <v>25</v>
      </c>
      <c r="D2" s="5">
        <v>8</v>
      </c>
    </row>
    <row r="3" spans="1:4" ht="15.95" customHeight="1" x14ac:dyDescent="0.25">
      <c r="A3" s="2" t="s">
        <v>26</v>
      </c>
      <c r="B3" s="2" t="s">
        <v>27</v>
      </c>
      <c r="C3" s="4" t="s">
        <v>25</v>
      </c>
      <c r="D3" s="5">
        <v>16</v>
      </c>
    </row>
    <row r="4" spans="1:4" ht="15.95" customHeight="1" x14ac:dyDescent="0.25">
      <c r="A4" s="2" t="s">
        <v>28</v>
      </c>
      <c r="B4" s="2" t="s">
        <v>29</v>
      </c>
      <c r="C4" s="6" t="s">
        <v>30</v>
      </c>
      <c r="D4" s="5">
        <v>8</v>
      </c>
    </row>
    <row r="5" spans="1:4" ht="15.95" customHeight="1" x14ac:dyDescent="0.25">
      <c r="A5" s="2" t="s">
        <v>31</v>
      </c>
      <c r="B5" s="2" t="s">
        <v>32</v>
      </c>
      <c r="C5" s="6" t="s">
        <v>30</v>
      </c>
      <c r="D5" s="5">
        <v>16</v>
      </c>
    </row>
    <row r="6" spans="1:4" ht="15.95" customHeight="1" x14ac:dyDescent="0.25">
      <c r="A6" s="2" t="s">
        <v>33</v>
      </c>
      <c r="B6" s="2" t="s">
        <v>34</v>
      </c>
      <c r="C6" s="7" t="s">
        <v>35</v>
      </c>
      <c r="D6" s="5">
        <v>8</v>
      </c>
    </row>
    <row r="7" spans="1:4" ht="15.95" customHeight="1" x14ac:dyDescent="0.25">
      <c r="A7" s="2" t="s">
        <v>36</v>
      </c>
      <c r="B7" s="2" t="s">
        <v>37</v>
      </c>
      <c r="C7" s="7" t="s">
        <v>35</v>
      </c>
      <c r="D7" s="5">
        <v>4</v>
      </c>
    </row>
    <row r="8" spans="1:4" ht="15.95" customHeight="1" x14ac:dyDescent="0.25">
      <c r="A8" s="2" t="s">
        <v>38</v>
      </c>
      <c r="B8" s="2" t="s">
        <v>39</v>
      </c>
      <c r="C8" s="8" t="s">
        <v>40</v>
      </c>
      <c r="D8" s="5">
        <v>4</v>
      </c>
    </row>
    <row r="9" spans="1:4" ht="15.95" customHeight="1" x14ac:dyDescent="0.25">
      <c r="A9" s="2" t="s">
        <v>41</v>
      </c>
      <c r="B9" s="2" t="s">
        <v>42</v>
      </c>
      <c r="C9" s="8" t="s">
        <v>40</v>
      </c>
      <c r="D9" s="5">
        <v>2</v>
      </c>
    </row>
    <row r="10" spans="1:4" ht="15.95" customHeight="1" x14ac:dyDescent="0.25">
      <c r="A10" s="2" t="s">
        <v>43</v>
      </c>
      <c r="B10" s="2" t="s">
        <v>44</v>
      </c>
      <c r="C10" s="4" t="s">
        <v>25</v>
      </c>
      <c r="D10" s="5">
        <v>32</v>
      </c>
    </row>
    <row r="11" spans="1:4" ht="15.95" customHeight="1" x14ac:dyDescent="0.25">
      <c r="A11" s="2" t="s">
        <v>45</v>
      </c>
      <c r="B11" s="2" t="s">
        <v>46</v>
      </c>
      <c r="C11" s="4" t="s">
        <v>25</v>
      </c>
      <c r="D11" s="5">
        <v>16</v>
      </c>
    </row>
    <row r="12" spans="1:4" ht="15.95" customHeight="1" x14ac:dyDescent="0.25">
      <c r="A12" s="2" t="s">
        <v>47</v>
      </c>
      <c r="B12" s="2" t="s">
        <v>48</v>
      </c>
      <c r="C12" s="6" t="s">
        <v>30</v>
      </c>
      <c r="D12" s="5">
        <v>32</v>
      </c>
    </row>
    <row r="13" spans="1:4" ht="15.95" customHeight="1" x14ac:dyDescent="0.25">
      <c r="A13" s="2" t="s">
        <v>49</v>
      </c>
      <c r="B13" s="2" t="s">
        <v>50</v>
      </c>
      <c r="C13" s="6" t="s">
        <v>30</v>
      </c>
      <c r="D13" s="5">
        <v>16</v>
      </c>
    </row>
    <row r="14" spans="1:4" ht="15.95" customHeight="1" x14ac:dyDescent="0.25">
      <c r="A14" s="2" t="s">
        <v>51</v>
      </c>
      <c r="B14" s="2" t="s">
        <v>52</v>
      </c>
      <c r="C14" s="7" t="s">
        <v>35</v>
      </c>
      <c r="D14" s="5">
        <v>16</v>
      </c>
    </row>
    <row r="15" spans="1:4" ht="15.95" customHeight="1" x14ac:dyDescent="0.25">
      <c r="A15" s="2" t="s">
        <v>53</v>
      </c>
      <c r="B15" s="2" t="s">
        <v>54</v>
      </c>
      <c r="C15" s="7" t="s">
        <v>35</v>
      </c>
      <c r="D15" s="5">
        <v>8</v>
      </c>
    </row>
    <row r="16" spans="1:4" ht="15.95" customHeight="1" x14ac:dyDescent="0.25">
      <c r="A16" s="2" t="s">
        <v>55</v>
      </c>
      <c r="B16" s="2" t="s">
        <v>56</v>
      </c>
      <c r="C16" s="8" t="s">
        <v>40</v>
      </c>
      <c r="D16" s="5">
        <v>8</v>
      </c>
    </row>
    <row r="17" spans="1:4" ht="15.95" customHeight="1" x14ac:dyDescent="0.25">
      <c r="A17" s="2" t="s">
        <v>57</v>
      </c>
      <c r="B17" s="2" t="s">
        <v>58</v>
      </c>
      <c r="C17" s="8" t="s">
        <v>40</v>
      </c>
      <c r="D17" s="5">
        <v>4</v>
      </c>
    </row>
    <row r="18" spans="1:4" ht="15.95" customHeight="1" x14ac:dyDescent="0.25">
      <c r="A18" s="2" t="s">
        <v>59</v>
      </c>
      <c r="B18" s="2" t="s">
        <v>60</v>
      </c>
      <c r="C18" s="4" t="s">
        <v>25</v>
      </c>
      <c r="D18" s="5">
        <v>16</v>
      </c>
    </row>
    <row r="19" spans="1:4" ht="15.95" customHeight="1" x14ac:dyDescent="0.25">
      <c r="A19" s="2" t="s">
        <v>61</v>
      </c>
      <c r="B19" s="2" t="s">
        <v>62</v>
      </c>
      <c r="C19" s="4" t="s">
        <v>25</v>
      </c>
      <c r="D19" s="5">
        <v>8</v>
      </c>
    </row>
    <row r="20" spans="1:4" ht="15.95" customHeight="1" x14ac:dyDescent="0.25">
      <c r="A20" s="2" t="s">
        <v>63</v>
      </c>
      <c r="B20" s="2" t="s">
        <v>64</v>
      </c>
      <c r="C20" s="6" t="s">
        <v>30</v>
      </c>
      <c r="D20" s="5">
        <v>16</v>
      </c>
    </row>
    <row r="21" spans="1:4" ht="15.95" customHeight="1" x14ac:dyDescent="0.25">
      <c r="A21" s="2" t="s">
        <v>65</v>
      </c>
      <c r="B21" s="2" t="s">
        <v>66</v>
      </c>
      <c r="C21" s="6" t="s">
        <v>30</v>
      </c>
      <c r="D21" s="5">
        <v>8</v>
      </c>
    </row>
    <row r="22" spans="1:4" ht="15.95" customHeight="1" x14ac:dyDescent="0.25">
      <c r="A22" s="2" t="s">
        <v>67</v>
      </c>
      <c r="B22" s="2" t="s">
        <v>68</v>
      </c>
      <c r="C22" s="7" t="s">
        <v>35</v>
      </c>
      <c r="D22" s="5">
        <v>8</v>
      </c>
    </row>
    <row r="23" spans="1:4" ht="15.95" customHeight="1" x14ac:dyDescent="0.25">
      <c r="A23" s="2" t="s">
        <v>69</v>
      </c>
      <c r="B23" s="2" t="s">
        <v>70</v>
      </c>
      <c r="C23" s="7" t="s">
        <v>35</v>
      </c>
      <c r="D23" s="5">
        <v>4</v>
      </c>
    </row>
    <row r="24" spans="1:4" ht="15.95" customHeight="1" x14ac:dyDescent="0.25">
      <c r="A24" s="2" t="s">
        <v>71</v>
      </c>
      <c r="B24" s="2" t="s">
        <v>72</v>
      </c>
      <c r="C24" s="8" t="s">
        <v>40</v>
      </c>
      <c r="D24" s="5">
        <v>4</v>
      </c>
    </row>
    <row r="25" spans="1:4" ht="15.95" customHeight="1" x14ac:dyDescent="0.25">
      <c r="A25" s="2" t="s">
        <v>73</v>
      </c>
      <c r="B25" s="2" t="s">
        <v>74</v>
      </c>
      <c r="C25" s="8" t="s">
        <v>40</v>
      </c>
      <c r="D25" s="5">
        <v>2</v>
      </c>
    </row>
    <row r="26" spans="1:4" ht="15.95" customHeight="1" x14ac:dyDescent="0.25">
      <c r="A26" s="2" t="s">
        <v>57</v>
      </c>
      <c r="B26" s="2" t="s">
        <v>58</v>
      </c>
      <c r="C26" s="8" t="s">
        <v>40</v>
      </c>
      <c r="D26" s="5">
        <v>4</v>
      </c>
    </row>
    <row r="27" spans="1:4" ht="15.95" customHeight="1" x14ac:dyDescent="0.25">
      <c r="A27" s="2" t="s">
        <v>59</v>
      </c>
      <c r="B27" s="2" t="s">
        <v>60</v>
      </c>
      <c r="C27" s="4" t="s">
        <v>25</v>
      </c>
      <c r="D27" s="5">
        <v>16</v>
      </c>
    </row>
    <row r="28" spans="1:4" ht="15.95" customHeight="1" x14ac:dyDescent="0.25">
      <c r="A28" s="2" t="s">
        <v>61</v>
      </c>
      <c r="B28" s="2" t="s">
        <v>62</v>
      </c>
      <c r="C28" s="4" t="s">
        <v>25</v>
      </c>
      <c r="D28" s="5">
        <v>8</v>
      </c>
    </row>
    <row r="29" spans="1:4" ht="15.95" customHeight="1" x14ac:dyDescent="0.25">
      <c r="A29" s="2" t="s">
        <v>63</v>
      </c>
      <c r="B29" s="2" t="s">
        <v>64</v>
      </c>
      <c r="C29" s="6" t="s">
        <v>30</v>
      </c>
      <c r="D29" s="5">
        <v>16</v>
      </c>
    </row>
    <row r="30" spans="1:4" ht="15.95" customHeight="1" x14ac:dyDescent="0.25">
      <c r="A30" s="2" t="s">
        <v>65</v>
      </c>
      <c r="B30" s="2" t="s">
        <v>66</v>
      </c>
      <c r="C30" s="6" t="s">
        <v>30</v>
      </c>
      <c r="D30" s="5">
        <v>8</v>
      </c>
    </row>
    <row r="31" spans="1:4" ht="15.95" customHeight="1" x14ac:dyDescent="0.25">
      <c r="A31" s="2" t="s">
        <v>67</v>
      </c>
      <c r="B31" s="2" t="s">
        <v>68</v>
      </c>
      <c r="C31" s="7" t="s">
        <v>35</v>
      </c>
      <c r="D31" s="5">
        <v>8</v>
      </c>
    </row>
    <row r="32" spans="1:4" ht="15.95" customHeight="1" x14ac:dyDescent="0.25">
      <c r="A32" s="2" t="s">
        <v>69</v>
      </c>
      <c r="B32" s="2" t="s">
        <v>70</v>
      </c>
      <c r="C32" s="7" t="s">
        <v>35</v>
      </c>
      <c r="D32" s="5">
        <v>4</v>
      </c>
    </row>
    <row r="33" spans="1:5" ht="15.95" customHeight="1" x14ac:dyDescent="0.25">
      <c r="A33" s="2" t="s">
        <v>71</v>
      </c>
      <c r="B33" s="2" t="s">
        <v>72</v>
      </c>
      <c r="C33" s="8" t="s">
        <v>40</v>
      </c>
      <c r="D33" s="5">
        <v>4</v>
      </c>
    </row>
    <row r="34" spans="1:5" ht="15.95" customHeight="1" x14ac:dyDescent="0.25">
      <c r="A34" s="2" t="s">
        <v>73</v>
      </c>
      <c r="B34" s="2" t="s">
        <v>74</v>
      </c>
      <c r="C34" s="8" t="s">
        <v>40</v>
      </c>
      <c r="D34" s="5">
        <v>2</v>
      </c>
    </row>
    <row r="36" spans="1:5" x14ac:dyDescent="0.25">
      <c r="A36" s="9" t="s">
        <v>75</v>
      </c>
      <c r="B36" s="10" t="s">
        <v>25</v>
      </c>
      <c r="C36" s="11" t="s">
        <v>30</v>
      </c>
      <c r="D36" s="12" t="s">
        <v>35</v>
      </c>
      <c r="E36" s="13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workbookViewId="0">
      <selection activeCell="G2" sqref="G2"/>
    </sheetView>
  </sheetViews>
  <sheetFormatPr defaultRowHeight="15" x14ac:dyDescent="0.25"/>
  <cols>
    <col min="1" max="1" width="18" customWidth="1"/>
    <col min="2" max="2" width="20" customWidth="1"/>
    <col min="3" max="3" width="12" customWidth="1"/>
    <col min="4" max="4" width="40.85546875" customWidth="1"/>
    <col min="5" max="5" width="12.5703125" bestFit="1" customWidth="1"/>
    <col min="6" max="6" width="21.42578125" customWidth="1"/>
    <col min="7" max="7" width="20.7109375" customWidth="1"/>
  </cols>
  <sheetData>
    <row r="1" spans="1:11" ht="24.95" customHeight="1" x14ac:dyDescent="0.25">
      <c r="A1" s="3" t="s">
        <v>76</v>
      </c>
      <c r="B1" s="3" t="s">
        <v>77</v>
      </c>
      <c r="C1" s="3" t="s">
        <v>78</v>
      </c>
      <c r="D1" s="3" t="s">
        <v>165</v>
      </c>
      <c r="E1" s="3" t="s">
        <v>167</v>
      </c>
      <c r="F1" s="3" t="s">
        <v>168</v>
      </c>
      <c r="G1" s="3" t="s">
        <v>166</v>
      </c>
      <c r="I1" s="16" t="s">
        <v>81</v>
      </c>
      <c r="J1" s="17"/>
      <c r="K1" s="17"/>
    </row>
    <row r="2" spans="1:11" ht="15.95" customHeight="1" x14ac:dyDescent="0.25">
      <c r="A2" s="2" t="s">
        <v>79</v>
      </c>
      <c r="B2" s="2" t="s">
        <v>26</v>
      </c>
      <c r="C2" s="5">
        <v>7</v>
      </c>
      <c r="D2" s="5" t="str">
        <f>IF(ISERROR(VLOOKUP(HARDWARE_CONFIG!B2,MODULE_DB!$A$2:$D$25,2,FALSE)),"",VLOOKUP(HARDWARE_CONFIG!B2,MODULE_DB!$A$2:$D$25,2,FALSE))</f>
        <v>POINT I/O 16-Ch Digital Input 24VDC</v>
      </c>
      <c r="E2" s="5" t="str">
        <f>IF(ISERROR(VLOOKUP(B2,MODULE_DB!$A$2:$D$25,3,FALSE)),"",VLOOKUP(B2,MODULE_DB!$A$2:$D$25,3,FALSE))</f>
        <v>DI</v>
      </c>
      <c r="F2" s="5">
        <f>IF(ISERROR(VLOOKUP(B2,MODULE_DB!$A$2:$D$25,4,FALSE)),"",VLOOKUP(B2,MODULE_DB!$A$2:$D$25,4,FALSE))</f>
        <v>16</v>
      </c>
      <c r="G2" s="5">
        <f>F2*C2</f>
        <v>112</v>
      </c>
    </row>
    <row r="3" spans="1:11" ht="15.95" customHeight="1" x14ac:dyDescent="0.25">
      <c r="A3" s="2" t="s">
        <v>79</v>
      </c>
      <c r="B3" s="2" t="s">
        <v>28</v>
      </c>
      <c r="C3" s="5">
        <v>3</v>
      </c>
      <c r="D3" s="5" t="str">
        <f>IF(ISERROR(VLOOKUP(HARDWARE_CONFIG!B3,MODULE_DB!$A$2:$D$25,2,FALSE)),"",VLOOKUP(HARDWARE_CONFIG!B3,MODULE_DB!$A$2:$D$25,2,FALSE))</f>
        <v>POINT I/O 8-Ch Digital Output 24VDC</v>
      </c>
      <c r="E3" s="5" t="str">
        <f>IF(ISERROR(VLOOKUP(B3,MODULE_DB!$A$2:$D$25,3,FALSE)),"",VLOOKUP(B3,MODULE_DB!$A$2:$D$25,3,FALSE))</f>
        <v>DO</v>
      </c>
      <c r="F3" s="5">
        <f>IF(ISERROR(VLOOKUP(B3,MODULE_DB!$A$2:$D$25,4,FALSE)),"",VLOOKUP(B3,MODULE_DB!$A$2:$D$25,4,FALSE))</f>
        <v>8</v>
      </c>
      <c r="G3" s="5">
        <v>3</v>
      </c>
    </row>
    <row r="4" spans="1:11" ht="15.95" customHeight="1" x14ac:dyDescent="0.25">
      <c r="A4" s="2" t="s">
        <v>79</v>
      </c>
      <c r="B4" s="2" t="s">
        <v>33</v>
      </c>
      <c r="C4" s="5">
        <v>1</v>
      </c>
      <c r="D4" s="5" t="str">
        <f>IF(ISERROR(VLOOKUP(HARDWARE_CONFIG!B4,MODULE_DB!$A$2:$D$25,2,FALSE)),"",VLOOKUP(HARDWARE_CONFIG!B4,MODULE_DB!$A$2:$D$25,2,FALSE))</f>
        <v>POINT I/O 8-Ch Analog Input 4-20mA</v>
      </c>
      <c r="E4" s="5" t="str">
        <f>IF(ISERROR(VLOOKUP(B4,MODULE_DB!$A$2:$D$25,3,FALSE)),"",VLOOKUP(B4,MODULE_DB!$A$2:$D$25,3,FALSE))</f>
        <v>AI</v>
      </c>
      <c r="F4" s="5">
        <f>IF(ISERROR(VLOOKUP(B4,MODULE_DB!$A$2:$D$25,4,FALSE)),"",VLOOKUP(B4,MODULE_DB!$A$2:$D$25,4,FALSE))</f>
        <v>8</v>
      </c>
      <c r="G4" s="5">
        <v>1</v>
      </c>
    </row>
    <row r="5" spans="1:11" ht="15.95" customHeight="1" x14ac:dyDescent="0.25">
      <c r="A5" s="2" t="s">
        <v>80</v>
      </c>
      <c r="B5" s="2" t="s">
        <v>23</v>
      </c>
      <c r="C5" s="5">
        <v>2</v>
      </c>
      <c r="D5" s="5" t="str">
        <f>IF(ISERROR(VLOOKUP(HARDWARE_CONFIG!B5,MODULE_DB!$A$2:$D$25,2,FALSE)),"",VLOOKUP(HARDWARE_CONFIG!B5,MODULE_DB!$A$2:$D$25,2,FALSE))</f>
        <v>POINT I/O 8-Ch Digital Input 24VDC</v>
      </c>
      <c r="E5" s="5" t="str">
        <f>IF(ISERROR(VLOOKUP(B5,MODULE_DB!$A$2:$D$25,3,FALSE)),"",VLOOKUP(B5,MODULE_DB!$A$2:$D$25,3,FALSE))</f>
        <v>DI</v>
      </c>
      <c r="F5" s="5">
        <f>IF(ISERROR(VLOOKUP(B5,MODULE_DB!$A$2:$D$25,4,FALSE)),"",VLOOKUP(B5,MODULE_DB!$A$2:$D$25,4,FALSE))</f>
        <v>8</v>
      </c>
      <c r="G5" s="5">
        <v>2</v>
      </c>
    </row>
    <row r="6" spans="1:11" ht="15.95" customHeight="1" x14ac:dyDescent="0.25">
      <c r="A6" s="2" t="s">
        <v>80</v>
      </c>
      <c r="B6" s="2" t="s">
        <v>28</v>
      </c>
      <c r="C6" s="5">
        <v>1</v>
      </c>
      <c r="D6" s="5" t="str">
        <f>IF(ISERROR(VLOOKUP(HARDWARE_CONFIG!B6,MODULE_DB!$A$2:$D$25,2,FALSE)),"",VLOOKUP(HARDWARE_CONFIG!B6,MODULE_DB!$A$2:$D$25,2,FALSE))</f>
        <v>POINT I/O 8-Ch Digital Output 24VDC</v>
      </c>
      <c r="E6" s="5" t="str">
        <f>IF(ISERROR(VLOOKUP(B6,MODULE_DB!$A$2:$D$25,3,FALSE)),"",VLOOKUP(B6,MODULE_DB!$A$2:$D$25,3,FALSE))</f>
        <v>DO</v>
      </c>
      <c r="F6" s="5">
        <f>IF(ISERROR(VLOOKUP(B6,MODULE_DB!$A$2:$D$25,4,FALSE)),"",VLOOKUP(B6,MODULE_DB!$A$2:$D$25,4,FALSE))</f>
        <v>8</v>
      </c>
      <c r="G6" s="5">
        <v>1</v>
      </c>
    </row>
    <row r="7" spans="1:11" x14ac:dyDescent="0.25">
      <c r="A7" s="2"/>
      <c r="B7" s="2"/>
      <c r="C7" s="5"/>
      <c r="D7" s="5" t="str">
        <f>IF(ISERROR(VLOOKUP(HARDWARE_CONFIG!B7,MODULE_DB!$A$2:$D$25,2,FALSE)),"",VLOOKUP(HARDWARE_CONFIG!B7,MODULE_DB!$A$2:$D$25,2,FALSE))</f>
        <v/>
      </c>
      <c r="E7" s="5" t="str">
        <f>IF(ISERROR(VLOOKUP(B7,MODULE_DB!$A$2:$D$25,3,FALSE)),"",VLOOKUP(B7,MODULE_DB!$A$2:$D$25,3,FALSE))</f>
        <v/>
      </c>
      <c r="F7" s="5" t="str">
        <f>IF(ISERROR(VLOOKUP(B7,MODULE_DB!$A$2:$D$25,4,FALSE)),"",VLOOKUP(B7,MODULE_DB!$A$2:$D$25,4,FALSE))</f>
        <v/>
      </c>
      <c r="G7" s="5">
        <v>1</v>
      </c>
    </row>
    <row r="8" spans="1:11" x14ac:dyDescent="0.25">
      <c r="A8" s="2"/>
      <c r="B8" s="2"/>
      <c r="C8" s="5"/>
      <c r="D8" s="5" t="str">
        <f>IF(ISERROR(VLOOKUP(HARDWARE_CONFIG!B8,MODULE_DB!$A$2:$D$25,2,FALSE)),"",VLOOKUP(HARDWARE_CONFIG!B8,MODULE_DB!$A$2:$D$25,2,FALSE))</f>
        <v/>
      </c>
      <c r="E8" s="5" t="str">
        <f>IF(ISERROR(VLOOKUP(B8,MODULE_DB!$A$2:$D$25,3,FALSE)),"",VLOOKUP(B8,MODULE_DB!$A$2:$D$25,3,FALSE))</f>
        <v/>
      </c>
      <c r="F8" s="5" t="str">
        <f>IF(ISERROR(VLOOKUP(B8,MODULE_DB!$A$2:$D$25,4,FALSE)),"",VLOOKUP(B8,MODULE_DB!$A$2:$D$25,4,FALSE))</f>
        <v/>
      </c>
      <c r="G8" s="5">
        <v>1</v>
      </c>
    </row>
    <row r="9" spans="1:11" x14ac:dyDescent="0.25">
      <c r="A9" s="2"/>
      <c r="B9" s="2"/>
      <c r="C9" s="5"/>
      <c r="D9" s="5" t="str">
        <f>IF(ISERROR(VLOOKUP(HARDWARE_CONFIG!B9,MODULE_DB!$A$2:$D$25,2,FALSE)),"",VLOOKUP(HARDWARE_CONFIG!B9,MODULE_DB!$A$2:$D$25,2,FALSE))</f>
        <v/>
      </c>
      <c r="E9" s="5" t="str">
        <f>IF(ISERROR(VLOOKUP(B9,MODULE_DB!$A$2:$D$25,3,FALSE)),"",VLOOKUP(B9,MODULE_DB!$A$2:$D$25,3,FALSE))</f>
        <v/>
      </c>
      <c r="F9" s="5" t="str">
        <f>IF(ISERROR(VLOOKUP(B9,MODULE_DB!$A$2:$D$25,4,FALSE)),"",VLOOKUP(B9,MODULE_DB!$A$2:$D$25,4,FALSE))</f>
        <v/>
      </c>
      <c r="G9" s="5">
        <v>1</v>
      </c>
    </row>
    <row r="10" spans="1:11" x14ac:dyDescent="0.25">
      <c r="A10" s="2"/>
      <c r="B10" s="2"/>
      <c r="C10" s="5"/>
      <c r="D10" s="5" t="str">
        <f>IF(ISERROR(VLOOKUP(HARDWARE_CONFIG!B10,MODULE_DB!$A$2:$D$25,2,FALSE)),"",VLOOKUP(HARDWARE_CONFIG!B10,MODULE_DB!$A$2:$D$25,2,FALSE))</f>
        <v/>
      </c>
      <c r="E10" s="5" t="str">
        <f>IF(ISERROR(VLOOKUP(B10,MODULE_DB!$A$2:$D$25,3,FALSE)),"",VLOOKUP(B10,MODULE_DB!$A$2:$D$25,3,FALSE))</f>
        <v/>
      </c>
      <c r="F10" s="5" t="str">
        <f>IF(ISERROR(VLOOKUP(B10,MODULE_DB!$A$2:$D$25,4,FALSE)),"",VLOOKUP(B10,MODULE_DB!$A$2:$D$25,4,FALSE))</f>
        <v/>
      </c>
      <c r="G10" s="5">
        <v>1</v>
      </c>
    </row>
    <row r="11" spans="1:11" x14ac:dyDescent="0.25">
      <c r="A11" s="2"/>
      <c r="B11" s="2"/>
      <c r="C11" s="5"/>
      <c r="D11" s="5" t="str">
        <f>IF(ISERROR(VLOOKUP(HARDWARE_CONFIG!B11,MODULE_DB!$A$2:$D$25,2,FALSE)),"",VLOOKUP(HARDWARE_CONFIG!B11,MODULE_DB!$A$2:$D$25,2,FALSE))</f>
        <v/>
      </c>
      <c r="E11" s="5" t="str">
        <f>IF(ISERROR(VLOOKUP(B11,MODULE_DB!$A$2:$D$25,3,FALSE)),"",VLOOKUP(B11,MODULE_DB!$A$2:$D$25,3,FALSE))</f>
        <v/>
      </c>
      <c r="F11" s="5" t="str">
        <f>IF(ISERROR(VLOOKUP(B11,MODULE_DB!$A$2:$D$25,4,FALSE)),"",VLOOKUP(B11,MODULE_DB!$A$2:$D$25,4,FALSE))</f>
        <v/>
      </c>
      <c r="G11" s="5">
        <v>1</v>
      </c>
    </row>
    <row r="12" spans="1:11" x14ac:dyDescent="0.25">
      <c r="A12" s="2"/>
      <c r="B12" s="2"/>
      <c r="C12" s="5"/>
      <c r="D12" s="5" t="str">
        <f>IF(ISERROR(VLOOKUP(HARDWARE_CONFIG!B12,MODULE_DB!$A$2:$D$25,2,FALSE)),"",VLOOKUP(HARDWARE_CONFIG!B12,MODULE_DB!$A$2:$D$25,2,FALSE))</f>
        <v/>
      </c>
      <c r="E12" s="5" t="str">
        <f>IF(ISERROR(VLOOKUP(B12,MODULE_DB!$A$2:$D$25,3,FALSE)),"",VLOOKUP(B12,MODULE_DB!$A$2:$D$25,3,FALSE))</f>
        <v/>
      </c>
      <c r="F12" s="5" t="str">
        <f>IF(ISERROR(VLOOKUP(B12,MODULE_DB!$A$2:$D$25,4,FALSE)),"",VLOOKUP(B12,MODULE_DB!$A$2:$D$25,4,FALSE))</f>
        <v/>
      </c>
      <c r="G12" s="5">
        <v>1</v>
      </c>
    </row>
    <row r="13" spans="1:11" x14ac:dyDescent="0.25">
      <c r="A13" s="2"/>
      <c r="B13" s="2"/>
      <c r="C13" s="5"/>
      <c r="D13" s="5" t="str">
        <f>IF(ISERROR(VLOOKUP(HARDWARE_CONFIG!B13,MODULE_DB!$A$2:$D$25,2,FALSE)),"",VLOOKUP(HARDWARE_CONFIG!B13,MODULE_DB!$A$2:$D$25,2,FALSE))</f>
        <v/>
      </c>
      <c r="E13" s="5" t="str">
        <f>IF(ISERROR(VLOOKUP(B13,MODULE_DB!$A$2:$D$25,3,FALSE)),"",VLOOKUP(B13,MODULE_DB!$A$2:$D$25,3,FALSE))</f>
        <v/>
      </c>
      <c r="F13" s="5" t="str">
        <f>IF(ISERROR(VLOOKUP(B13,MODULE_DB!$A$2:$D$25,4,FALSE)),"",VLOOKUP(B13,MODULE_DB!$A$2:$D$25,4,FALSE))</f>
        <v/>
      </c>
      <c r="G13" s="5">
        <v>1</v>
      </c>
    </row>
    <row r="14" spans="1:11" x14ac:dyDescent="0.25">
      <c r="A14" s="2"/>
      <c r="B14" s="2"/>
      <c r="C14" s="5"/>
      <c r="D14" s="5" t="str">
        <f>IF(ISERROR(VLOOKUP(HARDWARE_CONFIG!B14,MODULE_DB!$A$2:$D$25,2,FALSE)),"",VLOOKUP(HARDWARE_CONFIG!B14,MODULE_DB!$A$2:$D$25,2,FALSE))</f>
        <v/>
      </c>
      <c r="E14" s="5" t="str">
        <f>IF(ISERROR(VLOOKUP(B14,MODULE_DB!$A$2:$D$25,3,FALSE)),"",VLOOKUP(B14,MODULE_DB!$A$2:$D$25,3,FALSE))</f>
        <v/>
      </c>
      <c r="F14" s="5" t="str">
        <f>IF(ISERROR(VLOOKUP(B14,MODULE_DB!$A$2:$D$25,4,FALSE)),"",VLOOKUP(B14,MODULE_DB!$A$2:$D$25,4,FALSE))</f>
        <v/>
      </c>
      <c r="G14" s="5">
        <v>1</v>
      </c>
    </row>
    <row r="15" spans="1:11" x14ac:dyDescent="0.25">
      <c r="A15" s="2"/>
      <c r="B15" s="2"/>
      <c r="C15" s="5"/>
      <c r="D15" s="5" t="str">
        <f>IF(ISERROR(VLOOKUP(HARDWARE_CONFIG!B15,MODULE_DB!$A$2:$D$25,2,FALSE)),"",VLOOKUP(HARDWARE_CONFIG!B15,MODULE_DB!$A$2:$D$25,2,FALSE))</f>
        <v/>
      </c>
      <c r="E15" s="5" t="str">
        <f>IF(ISERROR(VLOOKUP(B15,MODULE_DB!$A$2:$D$25,3,FALSE)),"",VLOOKUP(B15,MODULE_DB!$A$2:$D$25,3,FALSE))</f>
        <v/>
      </c>
      <c r="F15" s="5" t="str">
        <f>IF(ISERROR(VLOOKUP(B15,MODULE_DB!$A$2:$D$25,4,FALSE)),"",VLOOKUP(B15,MODULE_DB!$A$2:$D$25,4,FALSE))</f>
        <v/>
      </c>
      <c r="G15" s="5">
        <v>1</v>
      </c>
    </row>
    <row r="16" spans="1:11" x14ac:dyDescent="0.25">
      <c r="A16" s="2"/>
      <c r="B16" s="2"/>
      <c r="C16" s="5"/>
      <c r="D16" s="5" t="str">
        <f>IF(ISERROR(VLOOKUP(HARDWARE_CONFIG!B16,MODULE_DB!$A$2:$D$25,2,FALSE)),"",VLOOKUP(HARDWARE_CONFIG!B16,MODULE_DB!$A$2:$D$25,2,FALSE))</f>
        <v/>
      </c>
      <c r="E16" s="5" t="str">
        <f>IF(ISERROR(VLOOKUP(B16,MODULE_DB!$A$2:$D$25,3,FALSE)),"",VLOOKUP(B16,MODULE_DB!$A$2:$D$25,3,FALSE))</f>
        <v/>
      </c>
      <c r="F16" s="5" t="str">
        <f>IF(ISERROR(VLOOKUP(B16,MODULE_DB!$A$2:$D$25,4,FALSE)),"",VLOOKUP(B16,MODULE_DB!$A$2:$D$25,4,FALSE))</f>
        <v/>
      </c>
      <c r="G16" s="5">
        <v>1</v>
      </c>
    </row>
    <row r="17" spans="1:7" x14ac:dyDescent="0.25">
      <c r="A17" s="2"/>
      <c r="B17" s="2"/>
      <c r="C17" s="5"/>
      <c r="D17" s="5" t="str">
        <f>IF(ISERROR(VLOOKUP(HARDWARE_CONFIG!B17,MODULE_DB!$A$2:$D$25,2,FALSE)),"",VLOOKUP(HARDWARE_CONFIG!B17,MODULE_DB!$A$2:$D$25,2,FALSE))</f>
        <v/>
      </c>
      <c r="E17" s="5" t="str">
        <f>IF(ISERROR(VLOOKUP(B17,MODULE_DB!$A$2:$D$25,3,FALSE)),"",VLOOKUP(B17,MODULE_DB!$A$2:$D$25,3,FALSE))</f>
        <v/>
      </c>
      <c r="F17" s="5" t="str">
        <f>IF(ISERROR(VLOOKUP(B17,MODULE_DB!$A$2:$D$25,4,FALSE)),"",VLOOKUP(B17,MODULE_DB!$A$2:$D$25,4,FALSE))</f>
        <v/>
      </c>
      <c r="G17" s="5">
        <v>1</v>
      </c>
    </row>
    <row r="18" spans="1:7" x14ac:dyDescent="0.25">
      <c r="A18" s="2"/>
      <c r="B18" s="2"/>
      <c r="C18" s="5"/>
      <c r="D18" s="5" t="str">
        <f>IF(ISERROR(VLOOKUP(HARDWARE_CONFIG!B18,MODULE_DB!$A$2:$D$25,2,FALSE)),"",VLOOKUP(HARDWARE_CONFIG!B18,MODULE_DB!$A$2:$D$25,2,FALSE))</f>
        <v/>
      </c>
      <c r="E18" s="5" t="str">
        <f>IF(ISERROR(VLOOKUP(B18,MODULE_DB!$A$2:$D$25,3,FALSE)),"",VLOOKUP(B18,MODULE_DB!$A$2:$D$25,3,FALSE))</f>
        <v/>
      </c>
      <c r="F18" s="5" t="str">
        <f>IF(ISERROR(VLOOKUP(B18,MODULE_DB!$A$2:$D$25,4,FALSE)),"",VLOOKUP(B18,MODULE_DB!$A$2:$D$25,4,FALSE))</f>
        <v/>
      </c>
      <c r="G18" s="5">
        <v>1</v>
      </c>
    </row>
    <row r="19" spans="1:7" x14ac:dyDescent="0.25">
      <c r="A19" s="2"/>
      <c r="B19" s="2"/>
      <c r="C19" s="5"/>
      <c r="D19" s="5" t="str">
        <f>IF(ISERROR(VLOOKUP(HARDWARE_CONFIG!B19,MODULE_DB!$A$2:$D$25,2,FALSE)),"",VLOOKUP(HARDWARE_CONFIG!B19,MODULE_DB!$A$2:$D$25,2,FALSE))</f>
        <v/>
      </c>
      <c r="E19" s="5" t="str">
        <f>IF(ISERROR(VLOOKUP(B19,MODULE_DB!$A$2:$D$25,3,FALSE)),"",VLOOKUP(B19,MODULE_DB!$A$2:$D$25,3,FALSE))</f>
        <v/>
      </c>
      <c r="F19" s="5" t="str">
        <f>IF(ISERROR(VLOOKUP(B19,MODULE_DB!$A$2:$D$25,4,FALSE)),"",VLOOKUP(B19,MODULE_DB!$A$2:$D$25,4,FALSE))</f>
        <v/>
      </c>
      <c r="G19" s="5">
        <v>1</v>
      </c>
    </row>
    <row r="20" spans="1:7" x14ac:dyDescent="0.25">
      <c r="A20" s="2"/>
      <c r="B20" s="2"/>
      <c r="C20" s="5"/>
      <c r="D20" s="5" t="str">
        <f>IF(ISERROR(VLOOKUP(HARDWARE_CONFIG!B20,MODULE_DB!$A$2:$D$25,2,FALSE)),"",VLOOKUP(HARDWARE_CONFIG!B20,MODULE_DB!$A$2:$D$25,2,FALSE))</f>
        <v/>
      </c>
      <c r="E20" s="5" t="str">
        <f>IF(ISERROR(VLOOKUP(B20,MODULE_DB!$A$2:$D$25,3,FALSE)),"",VLOOKUP(B20,MODULE_DB!$A$2:$D$25,3,FALSE))</f>
        <v/>
      </c>
      <c r="F20" s="5" t="str">
        <f>IF(ISERROR(VLOOKUP(B20,MODULE_DB!$A$2:$D$25,4,FALSE)),"",VLOOKUP(B20,MODULE_DB!$A$2:$D$25,4,FALSE))</f>
        <v/>
      </c>
      <c r="G20" s="5">
        <v>1</v>
      </c>
    </row>
    <row r="21" spans="1:7" x14ac:dyDescent="0.25">
      <c r="A21" s="2"/>
      <c r="B21" s="2"/>
      <c r="C21" s="5"/>
      <c r="D21" s="5" t="str">
        <f>IF(ISERROR(VLOOKUP(HARDWARE_CONFIG!B21,MODULE_DB!$A$2:$D$25,2,FALSE)),"",VLOOKUP(HARDWARE_CONFIG!B21,MODULE_DB!$A$2:$D$25,2,FALSE))</f>
        <v/>
      </c>
      <c r="E21" s="5" t="str">
        <f>IF(ISERROR(VLOOKUP(B21,MODULE_DB!$A$2:$D$25,3,FALSE)),"",VLOOKUP(B21,MODULE_DB!$A$2:$D$25,3,FALSE))</f>
        <v/>
      </c>
      <c r="F21" s="5" t="str">
        <f>IF(ISERROR(VLOOKUP(B21,MODULE_DB!$A$2:$D$25,4,FALSE)),"",VLOOKUP(B21,MODULE_DB!$A$2:$D$25,4,FALSE))</f>
        <v/>
      </c>
      <c r="G21" s="5">
        <v>1</v>
      </c>
    </row>
    <row r="22" spans="1:7" x14ac:dyDescent="0.25">
      <c r="A22" s="2"/>
      <c r="B22" s="2"/>
      <c r="C22" s="5"/>
      <c r="D22" s="5" t="str">
        <f>IF(ISERROR(VLOOKUP(HARDWARE_CONFIG!B22,MODULE_DB!$A$2:$D$25,2,FALSE)),"",VLOOKUP(HARDWARE_CONFIG!B22,MODULE_DB!$A$2:$D$25,2,FALSE))</f>
        <v/>
      </c>
      <c r="E22" s="5" t="str">
        <f>IF(ISERROR(VLOOKUP(B22,MODULE_DB!$A$2:$D$25,3,FALSE)),"",VLOOKUP(B22,MODULE_DB!$A$2:$D$25,3,FALSE))</f>
        <v/>
      </c>
      <c r="F22" s="5" t="str">
        <f>IF(ISERROR(VLOOKUP(B22,MODULE_DB!$A$2:$D$25,4,FALSE)),"",VLOOKUP(B22,MODULE_DB!$A$2:$D$25,4,FALSE))</f>
        <v/>
      </c>
      <c r="G22" s="5">
        <v>1</v>
      </c>
    </row>
    <row r="23" spans="1:7" x14ac:dyDescent="0.25">
      <c r="A23" s="2"/>
      <c r="B23" s="2"/>
      <c r="C23" s="5"/>
      <c r="D23" s="5" t="str">
        <f>IF(ISERROR(VLOOKUP(HARDWARE_CONFIG!B23,MODULE_DB!$A$2:$D$25,2,FALSE)),"",VLOOKUP(HARDWARE_CONFIG!B23,MODULE_DB!$A$2:$D$25,2,FALSE))</f>
        <v/>
      </c>
      <c r="E23" s="5" t="str">
        <f>IF(ISERROR(VLOOKUP(B23,MODULE_DB!$A$2:$D$25,3,FALSE)),"",VLOOKUP(B23,MODULE_DB!$A$2:$D$25,3,FALSE))</f>
        <v/>
      </c>
      <c r="F23" s="5" t="str">
        <f>IF(ISERROR(VLOOKUP(B23,MODULE_DB!$A$2:$D$25,4,FALSE)),"",VLOOKUP(B23,MODULE_DB!$A$2:$D$25,4,FALSE))</f>
        <v/>
      </c>
      <c r="G23" s="5">
        <v>1</v>
      </c>
    </row>
    <row r="24" spans="1:7" x14ac:dyDescent="0.25">
      <c r="A24" s="2"/>
      <c r="B24" s="2"/>
      <c r="C24" s="5"/>
      <c r="D24" s="5" t="str">
        <f>IF(ISERROR(VLOOKUP(HARDWARE_CONFIG!B24,MODULE_DB!$A$2:$D$25,2,FALSE)),"",VLOOKUP(HARDWARE_CONFIG!B24,MODULE_DB!$A$2:$D$25,2,FALSE))</f>
        <v/>
      </c>
      <c r="E24" s="5" t="str">
        <f>IF(ISERROR(VLOOKUP(B24,MODULE_DB!$A$2:$D$25,3,FALSE)),"",VLOOKUP(B24,MODULE_DB!$A$2:$D$25,3,FALSE))</f>
        <v/>
      </c>
      <c r="F24" s="5" t="str">
        <f>IF(ISERROR(VLOOKUP(B24,MODULE_DB!$A$2:$D$25,4,FALSE)),"",VLOOKUP(B24,MODULE_DB!$A$2:$D$25,4,FALSE))</f>
        <v/>
      </c>
      <c r="G24" s="5">
        <v>1</v>
      </c>
    </row>
    <row r="25" spans="1:7" x14ac:dyDescent="0.25">
      <c r="A25" s="2"/>
      <c r="B25" s="2"/>
      <c r="C25" s="5"/>
      <c r="D25" s="5" t="str">
        <f>IF(ISERROR(VLOOKUP(HARDWARE_CONFIG!B25,MODULE_DB!$A$2:$D$25,2,FALSE)),"",VLOOKUP(HARDWARE_CONFIG!B25,MODULE_DB!$A$2:$D$25,2,FALSE))</f>
        <v/>
      </c>
      <c r="E25" s="5" t="str">
        <f>IF(ISERROR(VLOOKUP(B25,MODULE_DB!$A$2:$D$25,3,FALSE)),"",VLOOKUP(B25,MODULE_DB!$A$2:$D$25,3,FALSE))</f>
        <v/>
      </c>
      <c r="F25" s="5" t="str">
        <f>IF(ISERROR(VLOOKUP(B25,MODULE_DB!$A$2:$D$25,4,FALSE)),"",VLOOKUP(B25,MODULE_DB!$A$2:$D$25,4,FALSE))</f>
        <v/>
      </c>
      <c r="G25" s="5">
        <v>1</v>
      </c>
    </row>
    <row r="26" spans="1:7" x14ac:dyDescent="0.25">
      <c r="A26" s="2"/>
      <c r="B26" s="2"/>
      <c r="C26" s="5"/>
      <c r="D26" s="5" t="str">
        <f>IF(ISERROR(VLOOKUP(HARDWARE_CONFIG!B26,MODULE_DB!$A$2:$D$25,2,FALSE)),"",VLOOKUP(HARDWARE_CONFIG!B26,MODULE_DB!$A$2:$D$25,2,FALSE))</f>
        <v/>
      </c>
      <c r="E26" s="5" t="str">
        <f>IF(ISERROR(VLOOKUP(B26,MODULE_DB!$A$2:$D$25,3,FALSE)),"",VLOOKUP(B26,MODULE_DB!$A$2:$D$25,3,FALSE))</f>
        <v/>
      </c>
      <c r="F26" s="5" t="str">
        <f>IF(ISERROR(VLOOKUP(B26,MODULE_DB!$A$2:$D$25,4,FALSE)),"",VLOOKUP(B26,MODULE_DB!$A$2:$D$25,4,FALSE))</f>
        <v/>
      </c>
      <c r="G26" s="5">
        <v>1</v>
      </c>
    </row>
    <row r="27" spans="1:7" x14ac:dyDescent="0.25">
      <c r="A27" s="2"/>
      <c r="B27" s="2"/>
      <c r="C27" s="5"/>
      <c r="D27" s="5" t="str">
        <f>IF(ISERROR(VLOOKUP(HARDWARE_CONFIG!B27,MODULE_DB!$A$2:$D$25,2,FALSE)),"",VLOOKUP(HARDWARE_CONFIG!B27,MODULE_DB!$A$2:$D$25,2,FALSE))</f>
        <v/>
      </c>
      <c r="E27" s="5" t="str">
        <f>IF(ISERROR(VLOOKUP(B27,MODULE_DB!$A$2:$D$25,3,FALSE)),"",VLOOKUP(B27,MODULE_DB!$A$2:$D$25,3,FALSE))</f>
        <v/>
      </c>
      <c r="F27" s="5" t="str">
        <f>IF(ISERROR(VLOOKUP(B27,MODULE_DB!$A$2:$D$25,4,FALSE)),"",VLOOKUP(B27,MODULE_DB!$A$2:$D$25,4,FALSE))</f>
        <v/>
      </c>
      <c r="G27" s="5">
        <v>1</v>
      </c>
    </row>
    <row r="28" spans="1:7" x14ac:dyDescent="0.25">
      <c r="A28" s="2"/>
      <c r="B28" s="2"/>
      <c r="C28" s="5"/>
      <c r="D28" s="5" t="str">
        <f>IF(ISERROR(VLOOKUP(HARDWARE_CONFIG!B28,MODULE_DB!$A$2:$D$25,2,FALSE)),"",VLOOKUP(HARDWARE_CONFIG!B28,MODULE_DB!$A$2:$D$25,2,FALSE))</f>
        <v/>
      </c>
      <c r="E28" s="5" t="str">
        <f>IF(ISERROR(VLOOKUP(B28,MODULE_DB!$A$2:$D$25,3,FALSE)),"",VLOOKUP(B28,MODULE_DB!$A$2:$D$25,3,FALSE))</f>
        <v/>
      </c>
      <c r="F28" s="5" t="str">
        <f>IF(ISERROR(VLOOKUP(B28,MODULE_DB!$A$2:$D$25,4,FALSE)),"",VLOOKUP(B28,MODULE_DB!$A$2:$D$25,4,FALSE))</f>
        <v/>
      </c>
      <c r="G28" s="5">
        <v>1</v>
      </c>
    </row>
    <row r="29" spans="1:7" x14ac:dyDescent="0.25">
      <c r="A29" s="2"/>
      <c r="B29" s="2"/>
      <c r="C29" s="5"/>
      <c r="D29" s="5" t="str">
        <f>IF(ISERROR(VLOOKUP(HARDWARE_CONFIG!B29,MODULE_DB!$A$2:$D$25,2,FALSE)),"",VLOOKUP(HARDWARE_CONFIG!B29,MODULE_DB!$A$2:$D$25,2,FALSE))</f>
        <v/>
      </c>
      <c r="E29" s="5" t="str">
        <f>IF(ISERROR(VLOOKUP(B29,MODULE_DB!$A$2:$D$25,3,FALSE)),"",VLOOKUP(B29,MODULE_DB!$A$2:$D$25,3,FALSE))</f>
        <v/>
      </c>
      <c r="F29" s="5" t="str">
        <f>IF(ISERROR(VLOOKUP(B29,MODULE_DB!$A$2:$D$25,4,FALSE)),"",VLOOKUP(B29,MODULE_DB!$A$2:$D$25,4,FALSE))</f>
        <v/>
      </c>
      <c r="G29" s="5">
        <v>1</v>
      </c>
    </row>
    <row r="30" spans="1:7" x14ac:dyDescent="0.25">
      <c r="A30" s="2"/>
      <c r="B30" s="2"/>
      <c r="C30" s="5"/>
      <c r="D30" s="5" t="str">
        <f>IF(ISERROR(VLOOKUP(HARDWARE_CONFIG!B30,MODULE_DB!$A$2:$D$25,2,FALSE)),"",VLOOKUP(HARDWARE_CONFIG!B30,MODULE_DB!$A$2:$D$25,2,FALSE))</f>
        <v/>
      </c>
      <c r="E30" s="5" t="str">
        <f>IF(ISERROR(VLOOKUP(B30,MODULE_DB!$A$2:$D$25,3,FALSE)),"",VLOOKUP(B30,MODULE_DB!$A$2:$D$25,3,FALSE))</f>
        <v/>
      </c>
      <c r="F30" s="5" t="str">
        <f>IF(ISERROR(VLOOKUP(B30,MODULE_DB!$A$2:$D$25,4,FALSE)),"",VLOOKUP(B30,MODULE_DB!$A$2:$D$25,4,FALSE))</f>
        <v/>
      </c>
      <c r="G30" s="5">
        <v>1</v>
      </c>
    </row>
    <row r="31" spans="1:7" x14ac:dyDescent="0.25">
      <c r="A31" s="2"/>
      <c r="B31" s="2"/>
      <c r="C31" s="5"/>
      <c r="D31" s="5" t="str">
        <f>IF(ISERROR(VLOOKUP(HARDWARE_CONFIG!B31,MODULE_DB!$A$2:$D$25,2,FALSE)),"",VLOOKUP(HARDWARE_CONFIG!B31,MODULE_DB!$A$2:$D$25,2,FALSE))</f>
        <v/>
      </c>
      <c r="E31" s="5" t="str">
        <f>IF(ISERROR(VLOOKUP(B31,MODULE_DB!$A$2:$D$25,3,FALSE)),"",VLOOKUP(B31,MODULE_DB!$A$2:$D$25,3,FALSE))</f>
        <v/>
      </c>
      <c r="F31" s="5" t="str">
        <f>IF(ISERROR(VLOOKUP(B31,MODULE_DB!$A$2:$D$25,4,FALSE)),"",VLOOKUP(B31,MODULE_DB!$A$2:$D$25,4,FALSE))</f>
        <v/>
      </c>
      <c r="G31" s="5">
        <v>1</v>
      </c>
    </row>
    <row r="32" spans="1:7" x14ac:dyDescent="0.25">
      <c r="A32" s="2"/>
      <c r="B32" s="2"/>
      <c r="C32" s="5"/>
      <c r="D32" s="5" t="str">
        <f>IF(ISERROR(VLOOKUP(HARDWARE_CONFIG!B32,MODULE_DB!$A$2:$D$25,2,FALSE)),"",VLOOKUP(HARDWARE_CONFIG!B32,MODULE_DB!$A$2:$D$25,2,FALSE))</f>
        <v/>
      </c>
      <c r="E32" s="5" t="str">
        <f>IF(ISERROR(VLOOKUP(B32,MODULE_DB!$A$2:$D$25,3,FALSE)),"",VLOOKUP(B32,MODULE_DB!$A$2:$D$25,3,FALSE))</f>
        <v/>
      </c>
      <c r="F32" s="5" t="str">
        <f>IF(ISERROR(VLOOKUP(B32,MODULE_DB!$A$2:$D$25,4,FALSE)),"",VLOOKUP(B32,MODULE_DB!$A$2:$D$25,4,FALSE))</f>
        <v/>
      </c>
      <c r="G32" s="5">
        <v>1</v>
      </c>
    </row>
    <row r="33" spans="1:7" x14ac:dyDescent="0.25">
      <c r="A33" s="2"/>
      <c r="B33" s="2"/>
      <c r="C33" s="5"/>
      <c r="D33" s="5" t="str">
        <f>IF(ISERROR(VLOOKUP(HARDWARE_CONFIG!B33,MODULE_DB!$A$2:$D$25,2,FALSE)),"",VLOOKUP(HARDWARE_CONFIG!B33,MODULE_DB!$A$2:$D$25,2,FALSE))</f>
        <v/>
      </c>
      <c r="E33" s="5" t="str">
        <f>IF(ISERROR(VLOOKUP(B33,MODULE_DB!$A$2:$D$25,3,FALSE)),"",VLOOKUP(B33,MODULE_DB!$A$2:$D$25,3,FALSE))</f>
        <v/>
      </c>
      <c r="F33" s="5" t="str">
        <f>IF(ISERROR(VLOOKUP(B33,MODULE_DB!$A$2:$D$25,4,FALSE)),"",VLOOKUP(B33,MODULE_DB!$A$2:$D$25,4,FALSE))</f>
        <v/>
      </c>
      <c r="G33" s="5">
        <v>1</v>
      </c>
    </row>
    <row r="34" spans="1:7" x14ac:dyDescent="0.25">
      <c r="A34" s="2"/>
      <c r="B34" s="2"/>
      <c r="C34" s="5"/>
      <c r="D34" s="5" t="str">
        <f>IF(ISERROR(VLOOKUP(HARDWARE_CONFIG!B34,MODULE_DB!$A$2:$D$25,2,FALSE)),"",VLOOKUP(HARDWARE_CONFIG!B34,MODULE_DB!$A$2:$D$25,2,FALSE))</f>
        <v/>
      </c>
      <c r="E34" s="5" t="str">
        <f>IF(ISERROR(VLOOKUP(B34,MODULE_DB!$A$2:$D$25,3,FALSE)),"",VLOOKUP(B34,MODULE_DB!$A$2:$D$25,3,FALSE))</f>
        <v/>
      </c>
      <c r="F34" s="5" t="str">
        <f>IF(ISERROR(VLOOKUP(B34,MODULE_DB!$A$2:$D$25,4,FALSE)),"",VLOOKUP(B34,MODULE_DB!$A$2:$D$25,4,FALSE))</f>
        <v/>
      </c>
      <c r="G34" s="5">
        <v>1</v>
      </c>
    </row>
    <row r="35" spans="1:7" x14ac:dyDescent="0.25">
      <c r="A35" s="2"/>
      <c r="B35" s="2"/>
      <c r="C35" s="5"/>
      <c r="D35" s="5" t="str">
        <f>IF(ISERROR(VLOOKUP(HARDWARE_CONFIG!B35,MODULE_DB!$A$2:$D$25,2,FALSE)),"",VLOOKUP(HARDWARE_CONFIG!B35,MODULE_DB!$A$2:$D$25,2,FALSE))</f>
        <v/>
      </c>
      <c r="E35" s="5" t="str">
        <f>IF(ISERROR(VLOOKUP(B35,MODULE_DB!$A$2:$D$25,3,FALSE)),"",VLOOKUP(B35,MODULE_DB!$A$2:$D$25,3,FALSE))</f>
        <v/>
      </c>
      <c r="F35" s="5" t="str">
        <f>IF(ISERROR(VLOOKUP(B35,MODULE_DB!$A$2:$D$25,4,FALSE)),"",VLOOKUP(B35,MODULE_DB!$A$2:$D$25,4,FALSE))</f>
        <v/>
      </c>
      <c r="G35" s="5">
        <v>1</v>
      </c>
    </row>
    <row r="36" spans="1:7" x14ac:dyDescent="0.25">
      <c r="A36" s="2"/>
      <c r="B36" s="2"/>
      <c r="C36" s="5"/>
      <c r="D36" s="5" t="str">
        <f>IF(ISERROR(VLOOKUP(HARDWARE_CONFIG!B36,MODULE_DB!$A$2:$D$25,2,FALSE)),"",VLOOKUP(HARDWARE_CONFIG!B36,MODULE_DB!$A$2:$D$25,2,FALSE))</f>
        <v/>
      </c>
      <c r="E36" s="5" t="str">
        <f>IF(ISERROR(VLOOKUP(B36,MODULE_DB!$A$2:$D$25,3,FALSE)),"",VLOOKUP(B36,MODULE_DB!$A$2:$D$25,3,FALSE))</f>
        <v/>
      </c>
      <c r="F36" s="5" t="str">
        <f>IF(ISERROR(VLOOKUP(B36,MODULE_DB!$A$2:$D$25,4,FALSE)),"",VLOOKUP(B36,MODULE_DB!$A$2:$D$25,4,FALSE))</f>
        <v/>
      </c>
      <c r="G36" s="5">
        <v>1</v>
      </c>
    </row>
    <row r="37" spans="1:7" x14ac:dyDescent="0.25">
      <c r="A37" s="2"/>
      <c r="B37" s="2"/>
      <c r="C37" s="5"/>
      <c r="D37" s="5" t="str">
        <f>IF(ISERROR(VLOOKUP(HARDWARE_CONFIG!B37,MODULE_DB!$A$2:$D$25,2,FALSE)),"",VLOOKUP(HARDWARE_CONFIG!B37,MODULE_DB!$A$2:$D$25,2,FALSE))</f>
        <v/>
      </c>
      <c r="E37" s="5" t="str">
        <f>IF(ISERROR(VLOOKUP(B37,MODULE_DB!$A$2:$D$25,3,FALSE)),"",VLOOKUP(B37,MODULE_DB!$A$2:$D$25,3,FALSE))</f>
        <v/>
      </c>
      <c r="F37" s="5" t="str">
        <f>IF(ISERROR(VLOOKUP(B37,MODULE_DB!$A$2:$D$25,4,FALSE)),"",VLOOKUP(B37,MODULE_DB!$A$2:$D$25,4,FALSE))</f>
        <v/>
      </c>
      <c r="G37" s="5">
        <v>1</v>
      </c>
    </row>
    <row r="38" spans="1:7" x14ac:dyDescent="0.25">
      <c r="A38" s="2"/>
      <c r="B38" s="2"/>
      <c r="C38" s="5"/>
      <c r="D38" s="5" t="str">
        <f>IF(ISERROR(VLOOKUP(HARDWARE_CONFIG!B38,MODULE_DB!$A$2:$D$25,2,FALSE)),"",VLOOKUP(HARDWARE_CONFIG!B38,MODULE_DB!$A$2:$D$25,2,FALSE))</f>
        <v/>
      </c>
      <c r="E38" s="5" t="str">
        <f>IF(ISERROR(VLOOKUP(B38,MODULE_DB!$A$2:$D$25,3,FALSE)),"",VLOOKUP(B38,MODULE_DB!$A$2:$D$25,3,FALSE))</f>
        <v/>
      </c>
      <c r="F38" s="5" t="str">
        <f>IF(ISERROR(VLOOKUP(B38,MODULE_DB!$A$2:$D$25,4,FALSE)),"",VLOOKUP(B38,MODULE_DB!$A$2:$D$25,4,FALSE))</f>
        <v/>
      </c>
      <c r="G38" s="5">
        <v>1</v>
      </c>
    </row>
    <row r="39" spans="1:7" x14ac:dyDescent="0.25">
      <c r="A39" s="2"/>
      <c r="B39" s="2"/>
      <c r="C39" s="5"/>
      <c r="D39" s="5" t="str">
        <f>IF(ISERROR(VLOOKUP(HARDWARE_CONFIG!B39,MODULE_DB!$A$2:$D$25,2,FALSE)),"",VLOOKUP(HARDWARE_CONFIG!B39,MODULE_DB!$A$2:$D$25,2,FALSE))</f>
        <v/>
      </c>
      <c r="E39" s="5" t="str">
        <f>IF(ISERROR(VLOOKUP(B39,MODULE_DB!$A$2:$D$25,3,FALSE)),"",VLOOKUP(B39,MODULE_DB!$A$2:$D$25,3,FALSE))</f>
        <v/>
      </c>
      <c r="F39" s="5" t="str">
        <f>IF(ISERROR(VLOOKUP(B39,MODULE_DB!$A$2:$D$25,4,FALSE)),"",VLOOKUP(B39,MODULE_DB!$A$2:$D$25,4,FALSE))</f>
        <v/>
      </c>
      <c r="G39" s="5">
        <v>1</v>
      </c>
    </row>
    <row r="40" spans="1:7" x14ac:dyDescent="0.25">
      <c r="A40" s="2"/>
      <c r="B40" s="2"/>
      <c r="C40" s="5"/>
      <c r="D40" s="5" t="str">
        <f>IF(ISERROR(VLOOKUP(HARDWARE_CONFIG!B40,MODULE_DB!$A$2:$D$25,2,FALSE)),"",VLOOKUP(HARDWARE_CONFIG!B40,MODULE_DB!$A$2:$D$25,2,FALSE))</f>
        <v/>
      </c>
      <c r="E40" s="5" t="str">
        <f>IF(ISERROR(VLOOKUP(B40,MODULE_DB!$A$2:$D$25,3,FALSE)),"",VLOOKUP(B40,MODULE_DB!$A$2:$D$25,3,FALSE))</f>
        <v/>
      </c>
      <c r="F40" s="5" t="str">
        <f>IF(ISERROR(VLOOKUP(B40,MODULE_DB!$A$2:$D$25,4,FALSE)),"",VLOOKUP(B40,MODULE_DB!$A$2:$D$25,4,FALSE))</f>
        <v/>
      </c>
      <c r="G40" s="5">
        <v>1</v>
      </c>
    </row>
  </sheetData>
  <mergeCells count="1"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selection activeCell="C9" sqref="C9"/>
    </sheetView>
  </sheetViews>
  <sheetFormatPr defaultRowHeight="15" x14ac:dyDescent="0.25"/>
  <cols>
    <col min="1" max="1" width="9.140625" bestFit="1" customWidth="1"/>
    <col min="2" max="2" width="11.85546875" bestFit="1" customWidth="1"/>
    <col min="3" max="3" width="17.5703125" bestFit="1" customWidth="1"/>
    <col min="4" max="4" width="7.42578125" bestFit="1" customWidth="1"/>
    <col min="5" max="5" width="14.140625" bestFit="1" customWidth="1"/>
    <col min="6" max="6" width="8.42578125" bestFit="1" customWidth="1"/>
    <col min="7" max="7" width="14.85546875" bestFit="1" customWidth="1"/>
    <col min="8" max="8" width="4.5703125" bestFit="1" customWidth="1"/>
    <col min="9" max="9" width="5" bestFit="1" customWidth="1"/>
    <col min="10" max="12" width="8.5703125" bestFit="1" customWidth="1"/>
  </cols>
  <sheetData>
    <row r="1" spans="1:12" ht="24.95" customHeight="1" x14ac:dyDescent="0.25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35</v>
      </c>
      <c r="I1" s="3" t="s">
        <v>25</v>
      </c>
      <c r="J1" s="3" t="s">
        <v>172</v>
      </c>
      <c r="K1" s="3" t="s">
        <v>30</v>
      </c>
      <c r="L1" s="3" t="s">
        <v>30</v>
      </c>
    </row>
    <row r="2" spans="1:12" ht="15.95" customHeight="1" x14ac:dyDescent="0.25">
      <c r="A2" s="5" t="s">
        <v>89</v>
      </c>
      <c r="B2" s="4" t="s">
        <v>25</v>
      </c>
      <c r="C2" s="2" t="s">
        <v>90</v>
      </c>
      <c r="D2" s="5" t="s">
        <v>98</v>
      </c>
      <c r="E2" s="5" t="s">
        <v>91</v>
      </c>
      <c r="F2" s="5" t="s">
        <v>92</v>
      </c>
      <c r="G2" s="5" t="s">
        <v>92</v>
      </c>
      <c r="H2" s="5"/>
      <c r="I2" s="5" t="s">
        <v>93</v>
      </c>
      <c r="J2" s="5" t="s">
        <v>173</v>
      </c>
      <c r="K2" s="5" t="s">
        <v>174</v>
      </c>
      <c r="L2" s="5" t="s">
        <v>174</v>
      </c>
    </row>
    <row r="3" spans="1:12" ht="15.95" customHeight="1" x14ac:dyDescent="0.25">
      <c r="A3" s="5" t="s">
        <v>89</v>
      </c>
      <c r="B3" s="4" t="s">
        <v>25</v>
      </c>
      <c r="C3" s="2" t="s">
        <v>94</v>
      </c>
      <c r="D3" s="5"/>
      <c r="E3" s="5" t="s">
        <v>95</v>
      </c>
      <c r="F3" s="5" t="s">
        <v>96</v>
      </c>
      <c r="G3" s="5" t="s">
        <v>96</v>
      </c>
      <c r="H3" s="5"/>
      <c r="I3" s="5"/>
      <c r="J3" s="5"/>
      <c r="K3" s="5"/>
      <c r="L3" s="5"/>
    </row>
    <row r="4" spans="1:12" ht="15.95" customHeight="1" x14ac:dyDescent="0.25">
      <c r="A4" s="5" t="s">
        <v>89</v>
      </c>
      <c r="B4" s="4" t="s">
        <v>25</v>
      </c>
      <c r="C4" s="2" t="s">
        <v>97</v>
      </c>
      <c r="D4" s="5"/>
      <c r="E4" s="5" t="s">
        <v>98</v>
      </c>
      <c r="F4" s="5"/>
      <c r="G4" s="5" t="s">
        <v>98</v>
      </c>
      <c r="H4" s="5"/>
      <c r="I4" s="5"/>
      <c r="J4" s="5"/>
      <c r="K4" s="5"/>
      <c r="L4" s="5"/>
    </row>
    <row r="5" spans="1:12" ht="15.95" customHeight="1" x14ac:dyDescent="0.25">
      <c r="A5" s="5" t="s">
        <v>89</v>
      </c>
      <c r="B5" s="4" t="s">
        <v>25</v>
      </c>
      <c r="C5" s="2" t="s">
        <v>99</v>
      </c>
      <c r="D5" s="5"/>
      <c r="E5" s="5"/>
      <c r="F5" s="5"/>
      <c r="G5" s="5"/>
      <c r="H5" s="5"/>
      <c r="I5" s="5"/>
      <c r="J5" s="5"/>
      <c r="K5" s="5"/>
      <c r="L5" s="5"/>
    </row>
    <row r="6" spans="1:12" ht="15.95" customHeight="1" x14ac:dyDescent="0.25">
      <c r="A6" s="5" t="s">
        <v>89</v>
      </c>
      <c r="B6" s="6" t="s">
        <v>30</v>
      </c>
      <c r="C6" s="2" t="s">
        <v>100</v>
      </c>
      <c r="D6" s="5"/>
      <c r="E6" s="5" t="s">
        <v>101</v>
      </c>
      <c r="F6" s="5"/>
      <c r="G6" s="5" t="s">
        <v>102</v>
      </c>
      <c r="H6" s="5"/>
      <c r="I6" s="5"/>
      <c r="J6" s="5"/>
      <c r="K6" s="5"/>
      <c r="L6" s="5"/>
    </row>
    <row r="7" spans="1:12" ht="15.95" customHeight="1" x14ac:dyDescent="0.25">
      <c r="A7" s="5" t="s">
        <v>89</v>
      </c>
      <c r="B7" s="6" t="s">
        <v>30</v>
      </c>
      <c r="C7" s="2" t="s">
        <v>103</v>
      </c>
      <c r="D7" s="5"/>
      <c r="E7" s="5"/>
      <c r="F7" s="5"/>
      <c r="G7" s="5" t="s">
        <v>104</v>
      </c>
      <c r="H7" s="5"/>
      <c r="I7" s="5"/>
      <c r="J7" s="5"/>
      <c r="K7" s="5"/>
      <c r="L7" s="5"/>
    </row>
    <row r="8" spans="1:12" ht="15.95" customHeight="1" x14ac:dyDescent="0.25">
      <c r="A8" s="5" t="s">
        <v>89</v>
      </c>
      <c r="B8" s="7" t="s">
        <v>35</v>
      </c>
      <c r="C8" s="2" t="s">
        <v>105</v>
      </c>
      <c r="D8" s="5"/>
      <c r="E8" s="5"/>
      <c r="F8" s="5"/>
      <c r="G8" s="5"/>
      <c r="H8" s="5" t="s">
        <v>106</v>
      </c>
      <c r="I8" s="5"/>
      <c r="J8" s="5"/>
      <c r="K8" s="5"/>
      <c r="L8" s="5"/>
    </row>
    <row r="9" spans="1:12" ht="15.95" customHeight="1" x14ac:dyDescent="0.25">
      <c r="A9" s="5" t="s">
        <v>89</v>
      </c>
      <c r="B9" s="7" t="s">
        <v>35</v>
      </c>
      <c r="C9" s="2" t="s">
        <v>107</v>
      </c>
      <c r="D9" s="5"/>
      <c r="E9" s="5"/>
      <c r="F9" s="5"/>
      <c r="G9" s="5"/>
      <c r="H9" s="5"/>
      <c r="I9" s="5"/>
      <c r="J9" s="5"/>
      <c r="K9" s="5"/>
      <c r="L9" s="5"/>
    </row>
    <row r="10" spans="1:12" ht="15.95" customHeight="1" x14ac:dyDescent="0.25">
      <c r="A10" s="5" t="s">
        <v>89</v>
      </c>
      <c r="B10" s="8" t="s">
        <v>40</v>
      </c>
      <c r="C10" s="2" t="s">
        <v>108</v>
      </c>
      <c r="D10" s="5"/>
      <c r="E10" s="5"/>
      <c r="F10" s="5"/>
      <c r="G10" s="5"/>
      <c r="H10" s="5"/>
      <c r="I10" s="5"/>
      <c r="J10" s="5"/>
      <c r="K10" s="5"/>
      <c r="L10" s="5"/>
    </row>
    <row r="11" spans="1:12" ht="15.95" customHeight="1" x14ac:dyDescent="0.25">
      <c r="A11" s="5" t="s">
        <v>89</v>
      </c>
      <c r="B11" s="8" t="s">
        <v>40</v>
      </c>
      <c r="C11" s="2" t="s">
        <v>109</v>
      </c>
      <c r="D11" s="5"/>
      <c r="E11" s="5"/>
      <c r="F11" s="5"/>
      <c r="G11" s="5"/>
      <c r="H11" s="5"/>
      <c r="I11" s="5"/>
      <c r="J11" s="5"/>
      <c r="K11" s="5"/>
      <c r="L11" s="5"/>
    </row>
    <row r="13" spans="1:12" ht="30.75" customHeight="1" x14ac:dyDescent="0.25">
      <c r="A13" s="20" t="s">
        <v>110</v>
      </c>
      <c r="B13" s="21"/>
      <c r="C13" s="21"/>
      <c r="D13" s="21"/>
      <c r="E13" s="21"/>
      <c r="F13" s="21"/>
      <c r="G13" s="21"/>
      <c r="H13" s="21"/>
      <c r="I13" s="21"/>
    </row>
  </sheetData>
  <mergeCells count="1">
    <mergeCell ref="A13:I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tabSelected="1" workbookViewId="0">
      <selection activeCell="B14" sqref="B14"/>
    </sheetView>
  </sheetViews>
  <sheetFormatPr defaultRowHeight="15" x14ac:dyDescent="0.25"/>
  <cols>
    <col min="1" max="1" width="20" customWidth="1"/>
    <col min="2" max="2" width="45" customWidth="1"/>
    <col min="3" max="3" width="12" customWidth="1"/>
    <col min="4" max="4" width="20" customWidth="1"/>
  </cols>
  <sheetData>
    <row r="1" spans="1:9" ht="24.95" customHeight="1" x14ac:dyDescent="0.25">
      <c r="A1" s="3" t="s">
        <v>111</v>
      </c>
      <c r="B1" s="3" t="s">
        <v>20</v>
      </c>
      <c r="C1" s="3" t="s">
        <v>112</v>
      </c>
      <c r="D1" s="3" t="s">
        <v>113</v>
      </c>
    </row>
    <row r="2" spans="1:9" ht="15.95" customHeight="1" x14ac:dyDescent="0.25">
      <c r="A2" s="14" t="s">
        <v>115</v>
      </c>
      <c r="B2" s="14" t="s">
        <v>116</v>
      </c>
      <c r="C2" s="15" t="s">
        <v>35</v>
      </c>
      <c r="D2" s="2"/>
      <c r="F2" s="16" t="s">
        <v>114</v>
      </c>
      <c r="G2" s="17"/>
      <c r="H2" s="17"/>
      <c r="I2" s="17"/>
    </row>
    <row r="3" spans="1:9" ht="15.95" customHeight="1" x14ac:dyDescent="0.25">
      <c r="A3" s="14" t="s">
        <v>117</v>
      </c>
      <c r="B3" s="14" t="s">
        <v>118</v>
      </c>
      <c r="C3" s="15" t="s">
        <v>35</v>
      </c>
      <c r="D3" s="2"/>
    </row>
    <row r="4" spans="1:9" ht="15.95" customHeight="1" x14ac:dyDescent="0.25">
      <c r="A4" s="14" t="s">
        <v>119</v>
      </c>
      <c r="B4" s="14" t="s">
        <v>120</v>
      </c>
      <c r="C4" s="15" t="s">
        <v>35</v>
      </c>
      <c r="D4" s="2"/>
    </row>
    <row r="5" spans="1:9" ht="15.95" customHeight="1" x14ac:dyDescent="0.25">
      <c r="A5" s="14" t="s">
        <v>121</v>
      </c>
      <c r="B5" s="14" t="s">
        <v>122</v>
      </c>
      <c r="C5" s="15" t="s">
        <v>35</v>
      </c>
      <c r="D5" s="2"/>
    </row>
    <row r="6" spans="1:9" ht="15.95" customHeight="1" x14ac:dyDescent="0.25">
      <c r="A6" s="14" t="s">
        <v>123</v>
      </c>
      <c r="B6" s="14" t="s">
        <v>124</v>
      </c>
      <c r="C6" s="15" t="s">
        <v>35</v>
      </c>
      <c r="D6" s="2"/>
    </row>
    <row r="7" spans="1:9" ht="15.95" customHeight="1" x14ac:dyDescent="0.25">
      <c r="A7" s="14" t="s">
        <v>125</v>
      </c>
      <c r="B7" s="14" t="s">
        <v>126</v>
      </c>
      <c r="C7" s="15" t="s">
        <v>35</v>
      </c>
      <c r="D7" s="2"/>
    </row>
    <row r="8" spans="1:9" ht="15.95" customHeight="1" x14ac:dyDescent="0.25">
      <c r="A8" s="14" t="s">
        <v>127</v>
      </c>
      <c r="B8" s="14" t="s">
        <v>128</v>
      </c>
      <c r="C8" s="15" t="s">
        <v>35</v>
      </c>
      <c r="D8" s="2"/>
    </row>
    <row r="9" spans="1:9" x14ac:dyDescent="0.25">
      <c r="A9" s="14" t="s">
        <v>129</v>
      </c>
      <c r="B9" s="14" t="s">
        <v>130</v>
      </c>
      <c r="C9" s="15" t="s">
        <v>85</v>
      </c>
    </row>
    <row r="10" spans="1:9" x14ac:dyDescent="0.25">
      <c r="A10" s="14" t="s">
        <v>131</v>
      </c>
      <c r="B10" s="14" t="s">
        <v>132</v>
      </c>
      <c r="C10" s="15" t="s">
        <v>85</v>
      </c>
    </row>
    <row r="11" spans="1:9" x14ac:dyDescent="0.25">
      <c r="A11" s="14" t="s">
        <v>133</v>
      </c>
      <c r="B11" s="14" t="s">
        <v>134</v>
      </c>
      <c r="C11" s="15" t="s">
        <v>85</v>
      </c>
    </row>
    <row r="12" spans="1:9" x14ac:dyDescent="0.25">
      <c r="A12" s="14" t="s">
        <v>135</v>
      </c>
      <c r="B12" s="14" t="s">
        <v>136</v>
      </c>
      <c r="C12" s="15" t="s">
        <v>85</v>
      </c>
    </row>
    <row r="13" spans="1:9" x14ac:dyDescent="0.25">
      <c r="A13" s="14" t="s">
        <v>137</v>
      </c>
      <c r="B13" s="14" t="s">
        <v>138</v>
      </c>
      <c r="C13" s="15" t="s">
        <v>87</v>
      </c>
    </row>
    <row r="14" spans="1:9" x14ac:dyDescent="0.25">
      <c r="A14" s="14" t="s">
        <v>139</v>
      </c>
      <c r="B14" s="14" t="s">
        <v>138</v>
      </c>
      <c r="C14" s="15" t="s">
        <v>87</v>
      </c>
    </row>
    <row r="15" spans="1:9" x14ac:dyDescent="0.25">
      <c r="A15" s="14" t="s">
        <v>140</v>
      </c>
      <c r="B15" s="14" t="s">
        <v>138</v>
      </c>
      <c r="C15" s="15" t="s">
        <v>87</v>
      </c>
    </row>
    <row r="16" spans="1:9" x14ac:dyDescent="0.25">
      <c r="A16" s="14" t="s">
        <v>141</v>
      </c>
      <c r="B16" s="14" t="s">
        <v>138</v>
      </c>
      <c r="C16" s="15" t="s">
        <v>87</v>
      </c>
    </row>
    <row r="17" spans="1:3" x14ac:dyDescent="0.25">
      <c r="A17" s="14" t="s">
        <v>142</v>
      </c>
      <c r="B17" s="14" t="s">
        <v>138</v>
      </c>
      <c r="C17" s="15" t="s">
        <v>87</v>
      </c>
    </row>
    <row r="18" spans="1:3" x14ac:dyDescent="0.25">
      <c r="A18" s="14" t="s">
        <v>143</v>
      </c>
      <c r="B18" s="14" t="s">
        <v>138</v>
      </c>
      <c r="C18" s="15" t="s">
        <v>87</v>
      </c>
    </row>
    <row r="19" spans="1:3" x14ac:dyDescent="0.25">
      <c r="A19" s="14" t="s">
        <v>144</v>
      </c>
      <c r="B19" s="14" t="s">
        <v>138</v>
      </c>
      <c r="C19" s="15" t="s">
        <v>87</v>
      </c>
    </row>
    <row r="20" spans="1:3" x14ac:dyDescent="0.25">
      <c r="A20" s="14" t="s">
        <v>145</v>
      </c>
      <c r="B20" s="14" t="s">
        <v>146</v>
      </c>
      <c r="C20" s="15" t="s">
        <v>88</v>
      </c>
    </row>
    <row r="21" spans="1:3" x14ac:dyDescent="0.25">
      <c r="A21" s="14" t="s">
        <v>147</v>
      </c>
      <c r="B21" s="14" t="s">
        <v>146</v>
      </c>
      <c r="C21" s="15" t="s">
        <v>88</v>
      </c>
    </row>
    <row r="22" spans="1:3" x14ac:dyDescent="0.25">
      <c r="A22" s="14" t="s">
        <v>148</v>
      </c>
      <c r="B22" s="14" t="s">
        <v>146</v>
      </c>
      <c r="C22" s="15" t="s">
        <v>88</v>
      </c>
    </row>
    <row r="23" spans="1:3" x14ac:dyDescent="0.25">
      <c r="A23" s="14" t="s">
        <v>149</v>
      </c>
      <c r="B23" s="14" t="s">
        <v>138</v>
      </c>
      <c r="C23" s="15" t="s">
        <v>87</v>
      </c>
    </row>
    <row r="24" spans="1:3" x14ac:dyDescent="0.25">
      <c r="A24" s="14" t="s">
        <v>150</v>
      </c>
      <c r="B24" s="14" t="s">
        <v>138</v>
      </c>
      <c r="C24" s="15" t="s">
        <v>87</v>
      </c>
    </row>
    <row r="25" spans="1:3" x14ac:dyDescent="0.25">
      <c r="A25" s="14" t="s">
        <v>151</v>
      </c>
      <c r="B25" s="14" t="s">
        <v>138</v>
      </c>
      <c r="C25" s="15" t="s">
        <v>87</v>
      </c>
    </row>
    <row r="26" spans="1:3" x14ac:dyDescent="0.25">
      <c r="A26" s="14" t="s">
        <v>152</v>
      </c>
      <c r="B26" s="14" t="s">
        <v>138</v>
      </c>
      <c r="C26" s="15" t="s">
        <v>87</v>
      </c>
    </row>
    <row r="27" spans="1:3" x14ac:dyDescent="0.25">
      <c r="A27" s="14" t="s">
        <v>153</v>
      </c>
      <c r="B27" s="14" t="s">
        <v>138</v>
      </c>
      <c r="C27" s="15" t="s">
        <v>87</v>
      </c>
    </row>
    <row r="28" spans="1:3" x14ac:dyDescent="0.25">
      <c r="A28" s="14" t="s">
        <v>154</v>
      </c>
      <c r="B28" s="14" t="s">
        <v>146</v>
      </c>
      <c r="C28" s="15" t="s">
        <v>88</v>
      </c>
    </row>
    <row r="29" spans="1:3" x14ac:dyDescent="0.25">
      <c r="A29" s="14" t="s">
        <v>155</v>
      </c>
      <c r="B29" s="14" t="s">
        <v>146</v>
      </c>
      <c r="C29" s="15" t="s">
        <v>88</v>
      </c>
    </row>
    <row r="30" spans="1:3" x14ac:dyDescent="0.25">
      <c r="A30" s="14" t="s">
        <v>156</v>
      </c>
      <c r="B30" s="14" t="s">
        <v>146</v>
      </c>
      <c r="C30" s="15" t="s">
        <v>88</v>
      </c>
    </row>
    <row r="31" spans="1:3" x14ac:dyDescent="0.25">
      <c r="A31" s="14" t="s">
        <v>157</v>
      </c>
      <c r="B31" s="14" t="s">
        <v>138</v>
      </c>
      <c r="C31" s="15" t="s">
        <v>87</v>
      </c>
    </row>
    <row r="32" spans="1:3" x14ac:dyDescent="0.25">
      <c r="A32" s="14" t="s">
        <v>158</v>
      </c>
      <c r="B32" s="14" t="s">
        <v>138</v>
      </c>
      <c r="C32" s="15" t="s">
        <v>87</v>
      </c>
    </row>
    <row r="33" spans="1:3" x14ac:dyDescent="0.25">
      <c r="A33" s="14" t="s">
        <v>159</v>
      </c>
      <c r="B33" s="14" t="s">
        <v>138</v>
      </c>
      <c r="C33" s="15" t="s">
        <v>87</v>
      </c>
    </row>
    <row r="34" spans="1:3" x14ac:dyDescent="0.25">
      <c r="A34" s="14" t="s">
        <v>160</v>
      </c>
      <c r="B34" s="14" t="s">
        <v>138</v>
      </c>
      <c r="C34" s="15" t="s">
        <v>87</v>
      </c>
    </row>
    <row r="35" spans="1:3" x14ac:dyDescent="0.25">
      <c r="A35" s="14" t="s">
        <v>161</v>
      </c>
      <c r="B35" s="14" t="s">
        <v>138</v>
      </c>
      <c r="C35" s="15" t="s">
        <v>87</v>
      </c>
    </row>
    <row r="36" spans="1:3" x14ac:dyDescent="0.25">
      <c r="A36" s="14" t="s">
        <v>162</v>
      </c>
      <c r="B36" s="14" t="s">
        <v>138</v>
      </c>
      <c r="C36" s="15" t="s">
        <v>87</v>
      </c>
    </row>
    <row r="37" spans="1:3" x14ac:dyDescent="0.25">
      <c r="A37" s="14" t="s">
        <v>163</v>
      </c>
      <c r="B37" s="14" t="s">
        <v>138</v>
      </c>
      <c r="C37" s="15" t="s">
        <v>87</v>
      </c>
    </row>
    <row r="38" spans="1:3" x14ac:dyDescent="0.25">
      <c r="A38" s="14" t="s">
        <v>164</v>
      </c>
      <c r="B38" s="14" t="s">
        <v>138</v>
      </c>
      <c r="C38" s="15" t="s">
        <v>87</v>
      </c>
    </row>
  </sheetData>
  <mergeCells count="1"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PROJECT_INFO</vt:lpstr>
      <vt:lpstr>MODULE_DB</vt:lpstr>
      <vt:lpstr>HARDWARE_CONFIG</vt:lpstr>
      <vt:lpstr>SIGNAL_MATRIX</vt:lpstr>
      <vt:lpstr>EQUIPMENT_LIST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Abu Ghannam</cp:lastModifiedBy>
  <dcterms:created xsi:type="dcterms:W3CDTF">2026-04-21T08:16:09Z</dcterms:created>
  <dcterms:modified xsi:type="dcterms:W3CDTF">2026-04-21T14:14:26Z</dcterms:modified>
</cp:coreProperties>
</file>